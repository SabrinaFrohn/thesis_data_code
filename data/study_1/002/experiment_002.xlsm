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#study_23_06_20\002\"/>
    </mc:Choice>
  </mc:AlternateContent>
  <xr:revisionPtr revIDLastSave="0" documentId="13_ncr:1_{B3C29811-E02C-47E7-98FA-170778A41AEE}" xr6:coauthVersionLast="45" xr6:coauthVersionMax="45" xr10:uidLastSave="{00000000-0000-0000-0000-000000000000}"/>
  <bookViews>
    <workbookView xWindow="13905" yWindow="2505" windowWidth="18000" windowHeight="9360" activeTab="1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" i="2"/>
  <c r="C2" i="2"/>
  <c r="I12" i="2" l="1" a="1"/>
  <c r="I12" i="2" s="1"/>
  <c r="E21" i="2" s="1"/>
  <c r="I11" i="2" a="1"/>
  <c r="I11" i="2" s="1"/>
  <c r="E20" i="2" s="1"/>
  <c r="I10" i="2" a="1"/>
  <c r="I10" i="2" s="1"/>
  <c r="E19" i="2" s="1"/>
  <c r="I9" i="2" a="1"/>
  <c r="I9" i="2" s="1"/>
  <c r="E18" i="2" s="1"/>
  <c r="I8" i="2" a="1"/>
  <c r="I8" i="2" s="1"/>
  <c r="E17" i="2" s="1"/>
  <c r="I7" i="2" a="1"/>
  <c r="I7" i="2" s="1"/>
  <c r="E16" i="2" s="1"/>
  <c r="I6" i="2" a="1"/>
  <c r="I6" i="2" s="1"/>
  <c r="E15" i="2" s="1"/>
  <c r="I5" i="2" a="1"/>
  <c r="I5" i="2" s="1"/>
  <c r="E14" i="2" s="1"/>
  <c r="I4" i="2" a="1"/>
  <c r="I4" i="2" s="1"/>
  <c r="E13" i="2" s="1"/>
  <c r="E4" i="2" a="1"/>
  <c r="E4" i="2" s="1"/>
  <c r="I13" i="2" s="1"/>
  <c r="B39" i="1"/>
  <c r="E12" i="2" a="1"/>
  <c r="E12" i="2" s="1"/>
  <c r="I21" i="2" s="1"/>
  <c r="E11" i="2" a="1"/>
  <c r="E11" i="2" s="1"/>
  <c r="I20" i="2" s="1"/>
  <c r="E10" i="2" a="1"/>
  <c r="E10" i="2" s="1"/>
  <c r="I19" i="2" s="1"/>
  <c r="E9" i="2" a="1"/>
  <c r="E9" i="2" s="1"/>
  <c r="I18" i="2" s="1"/>
  <c r="E8" i="2" a="1"/>
  <c r="E8" i="2" s="1"/>
  <c r="I17" i="2" s="1"/>
  <c r="E7" i="2" a="1"/>
  <c r="E7" i="2" s="1"/>
  <c r="I16" i="2" s="1"/>
  <c r="E6" i="2" a="1"/>
  <c r="E6" i="2" s="1"/>
  <c r="I15" i="2" s="1"/>
  <c r="E5" i="2" a="1"/>
  <c r="E5" i="2" s="1"/>
  <c r="I14" i="2" s="1"/>
  <c r="B38" i="1"/>
  <c r="C16" i="2"/>
  <c r="G16" i="2"/>
  <c r="C17" i="2"/>
  <c r="G17" i="2"/>
  <c r="C18" i="2"/>
  <c r="G18" i="2"/>
  <c r="C19" i="2"/>
  <c r="G19" i="2"/>
  <c r="C20" i="2"/>
  <c r="G20" i="2"/>
  <c r="C21" i="2"/>
  <c r="G21" i="2"/>
  <c r="C39" i="1"/>
  <c r="D39" i="1"/>
  <c r="E39" i="1"/>
  <c r="F39" i="1"/>
  <c r="G39" i="1"/>
  <c r="H39" i="1"/>
  <c r="I39" i="1"/>
  <c r="J39" i="1"/>
  <c r="C38" i="1"/>
  <c r="D38" i="1"/>
  <c r="E38" i="1"/>
  <c r="F38" i="1"/>
  <c r="G38" i="1"/>
  <c r="H38" i="1"/>
  <c r="I38" i="1"/>
  <c r="J38" i="1"/>
  <c r="F18" i="2" l="1"/>
  <c r="F21" i="2"/>
  <c r="F17" i="2"/>
  <c r="J20" i="2"/>
  <c r="J19" i="2"/>
  <c r="F19" i="2"/>
  <c r="J17" i="2"/>
  <c r="J18" i="2"/>
  <c r="J21" i="2"/>
  <c r="J16" i="2"/>
  <c r="F20" i="2"/>
  <c r="F16" i="2"/>
  <c r="G15" i="2" l="1"/>
  <c r="J15" i="2" s="1"/>
  <c r="G14" i="2"/>
  <c r="J14" i="2" s="1"/>
  <c r="G13" i="2"/>
  <c r="J13" i="2" s="1"/>
  <c r="G12" i="2"/>
  <c r="J12" i="2" s="1"/>
  <c r="G11" i="2"/>
  <c r="J11" i="2" s="1"/>
  <c r="G10" i="2"/>
  <c r="J10" i="2" s="1"/>
  <c r="G9" i="2"/>
  <c r="J9" i="2" s="1"/>
  <c r="G8" i="2"/>
  <c r="J8" i="2" s="1"/>
  <c r="G7" i="2"/>
  <c r="J7" i="2" s="1"/>
  <c r="G6" i="2"/>
  <c r="J6" i="2" s="1"/>
  <c r="G5" i="2"/>
  <c r="J5" i="2" s="1"/>
  <c r="G4" i="2"/>
  <c r="J4" i="2" s="1"/>
  <c r="G3" i="2"/>
  <c r="J3" i="2" s="1"/>
  <c r="G2" i="2"/>
  <c r="J2" i="2" s="1"/>
  <c r="C15" i="2"/>
  <c r="F15" i="2" s="1"/>
  <c r="C14" i="2"/>
  <c r="F14" i="2" s="1"/>
  <c r="C13" i="2"/>
  <c r="F13" i="2" s="1"/>
  <c r="C12" i="2"/>
  <c r="F12" i="2" s="1"/>
  <c r="C11" i="2"/>
  <c r="F11" i="2" s="1"/>
  <c r="C10" i="2"/>
  <c r="F10" i="2" s="1"/>
  <c r="C9" i="2"/>
  <c r="F9" i="2" s="1"/>
  <c r="C8" i="2"/>
  <c r="F8" i="2" s="1"/>
  <c r="C7" i="2"/>
  <c r="F7" i="2" s="1"/>
  <c r="C6" i="2"/>
  <c r="F6" i="2" s="1"/>
  <c r="C5" i="2"/>
  <c r="F5" i="2" s="1"/>
  <c r="C4" i="2"/>
  <c r="F4" i="2" s="1"/>
  <c r="C3" i="2"/>
  <c r="F3" i="2" s="1"/>
  <c r="F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<sst xmlns="http://schemas.openxmlformats.org/spreadsheetml/2006/main" count="126" uniqueCount="69">
  <si>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</si>
  <si>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</si>
  <si>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</si>
  <si>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</si>
  <si>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</si>
  <si>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</si>
  <si>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</si>
  <si>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</si>
  <si>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</si>
  <si>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</si>
  <si>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</si>
  <si>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</si>
  <si>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</si>
  <si>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</si>
  <si>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</si>
  <si>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block</t>
  </si>
  <si>
    <t xml:space="preserve">confront </t>
  </si>
  <si>
    <t>displease</t>
  </si>
  <si>
    <t>reject</t>
  </si>
  <si>
    <t>caress</t>
  </si>
  <si>
    <t>befriend</t>
  </si>
  <si>
    <t>cherish</t>
  </si>
  <si>
    <t>ease</t>
  </si>
  <si>
    <t>support</t>
  </si>
  <si>
    <t>welcome</t>
  </si>
  <si>
    <t>Text part</t>
  </si>
  <si>
    <t>notes</t>
  </si>
  <si>
    <t>accept</t>
  </si>
  <si>
    <t>comfort</t>
  </si>
  <si>
    <t>motivate</t>
  </si>
  <si>
    <t>reassure</t>
  </si>
  <si>
    <t>threaten</t>
  </si>
  <si>
    <t>shame</t>
  </si>
  <si>
    <t>frustrate</t>
  </si>
  <si>
    <t>anger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</si>
  <si>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</si>
  <si>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</si>
  <si>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</si>
  <si>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</si>
  <si>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</si>
  <si>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</si>
  <si>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</si>
  <si>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</si>
  <si>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</si>
  <si>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</si>
  <si>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</si>
  <si>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</si>
  <si>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</si>
  <si>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</si>
  <si>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</si>
  <si>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</si>
  <si>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</si>
  <si>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</si>
  <si>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Trial_13</t>
  </si>
  <si>
    <t>Trial_14</t>
  </si>
  <si>
    <t>Trial_15</t>
  </si>
  <si>
    <t>Trial_16</t>
  </si>
  <si>
    <t>Trial_17</t>
  </si>
  <si>
    <t>Trial_18</t>
  </si>
  <si>
    <t>Trial run?  (0 = test, 1=trial)</t>
  </si>
  <si>
    <t>Successful? (0 = no, 1 = yes)</t>
  </si>
  <si>
    <t>M</t>
  </si>
  <si>
    <t>W</t>
  </si>
  <si>
    <t>Sabrina</t>
  </si>
  <si>
    <t>ELSC03</t>
  </si>
  <si>
    <t>e0237</t>
  </si>
  <si>
    <t>ELJO11</t>
  </si>
  <si>
    <t>e0308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</si>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</sst>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4" xfId="0" applyFill="1" applyBorder="1"/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</cellXfs>
  <cellStyles count="1">
    <cellStyle name="Standard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12</xdr:row>
          <xdr:rowOff>19050</xdr:rowOff>
        </xdr:from>
        <xdr:to>
          <xdr:col>1</xdr:col>
          <xdr:colOff>1533525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J39"/>
  <sheetViews>
    <sheetView workbookViewId="0">
      <selection activeCell="C12" sqref="C12"/>
    </sheetView>
  </sheetViews>
  <sheetFormatPr baseColWidth="10" defaultRowHeight="15" x14ac:dyDescent="0.25"/>
  <cols>
    <col min="2" max="2" width="23.140625" customWidth="1"/>
    <col min="3" max="3" width="27.7109375" customWidth="1"/>
    <col min="5" max="5" width="20.7109375" customWidth="1"/>
  </cols>
  <sheetData>
    <row r="3" spans="2:3" x14ac:dyDescent="0.25">
      <c r="B3" s="1" t="s">
        <v>4</v>
      </c>
      <c r="C3" s="5" t="s">
        <v>63</v>
      </c>
    </row>
    <row r="4" spans="2:3" x14ac:dyDescent="0.25">
      <c r="B4" s="1" t="s">
        <v>5</v>
      </c>
      <c r="C4" s="6">
        <v>44005</v>
      </c>
    </row>
    <row r="5" spans="2:3" x14ac:dyDescent="0.25">
      <c r="B5" s="1"/>
      <c r="C5" s="4"/>
    </row>
    <row r="6" spans="2:3" x14ac:dyDescent="0.25">
      <c r="B6" s="1" t="s">
        <v>1</v>
      </c>
      <c r="C6" s="7" t="s">
        <v>64</v>
      </c>
    </row>
    <row r="7" spans="2:3" x14ac:dyDescent="0.25">
      <c r="B7" s="1" t="s">
        <v>2</v>
      </c>
      <c r="C7" s="7" t="s">
        <v>65</v>
      </c>
    </row>
    <row r="8" spans="2:3" x14ac:dyDescent="0.25">
      <c r="B8" s="1"/>
      <c r="C8" s="4"/>
    </row>
    <row r="9" spans="2:3" x14ac:dyDescent="0.25">
      <c r="B9" s="1"/>
      <c r="C9" s="4"/>
    </row>
    <row r="10" spans="2:3" x14ac:dyDescent="0.25">
      <c r="B10" s="1" t="s">
        <v>0</v>
      </c>
      <c r="C10" s="7" t="s">
        <v>66</v>
      </c>
    </row>
    <row r="11" spans="2:3" x14ac:dyDescent="0.25">
      <c r="B11" s="1" t="s">
        <v>3</v>
      </c>
      <c r="C11" s="8" t="s">
        <v>67</v>
      </c>
    </row>
    <row r="16" spans="2:3" hidden="1" x14ac:dyDescent="0.25">
      <c r="B16" t="s">
        <v>12</v>
      </c>
    </row>
    <row r="17" spans="1:4" hidden="1" x14ac:dyDescent="0.25"/>
    <row r="18" spans="1:4" hidden="1" x14ac:dyDescent="0.25">
      <c r="A18">
        <v>1</v>
      </c>
      <c r="B18" t="s">
        <v>20</v>
      </c>
      <c r="C18" t="s">
        <v>38</v>
      </c>
      <c r="D18" t="s">
        <v>14</v>
      </c>
    </row>
    <row r="19" spans="1:4" hidden="1" x14ac:dyDescent="0.25">
      <c r="A19">
        <v>2</v>
      </c>
      <c r="B19" t="s">
        <v>21</v>
      </c>
      <c r="C19" t="s">
        <v>38</v>
      </c>
      <c r="D19" t="s">
        <v>15</v>
      </c>
    </row>
    <row r="20" spans="1:4" hidden="1" x14ac:dyDescent="0.25">
      <c r="A20">
        <v>3</v>
      </c>
      <c r="B20" t="s">
        <v>22</v>
      </c>
      <c r="C20" t="s">
        <v>38</v>
      </c>
      <c r="D20" t="s">
        <v>16</v>
      </c>
    </row>
    <row r="21" spans="1:4" hidden="1" x14ac:dyDescent="0.25">
      <c r="A21">
        <v>4</v>
      </c>
      <c r="B21" t="s">
        <v>23</v>
      </c>
      <c r="C21" t="s">
        <v>38</v>
      </c>
      <c r="D21" t="s">
        <v>27</v>
      </c>
    </row>
    <row r="22" spans="1:4" hidden="1" x14ac:dyDescent="0.25">
      <c r="A22">
        <v>5</v>
      </c>
      <c r="B22" t="s">
        <v>24</v>
      </c>
      <c r="C22" t="s">
        <v>38</v>
      </c>
      <c r="D22" t="s">
        <v>28</v>
      </c>
    </row>
    <row r="23" spans="1:4" hidden="1" x14ac:dyDescent="0.25">
      <c r="A23">
        <v>6</v>
      </c>
      <c r="B23" t="s">
        <v>29</v>
      </c>
      <c r="C23" t="s">
        <v>38</v>
      </c>
      <c r="D23" t="s">
        <v>30</v>
      </c>
    </row>
    <row r="24" spans="1:4" hidden="1" x14ac:dyDescent="0.25">
      <c r="A24">
        <v>7</v>
      </c>
      <c r="B24" t="s">
        <v>17</v>
      </c>
      <c r="C24" t="s">
        <v>38</v>
      </c>
      <c r="D24" t="s">
        <v>31</v>
      </c>
    </row>
    <row r="25" spans="1:4" hidden="1" x14ac:dyDescent="0.25">
      <c r="A25">
        <v>8</v>
      </c>
      <c r="B25" t="s">
        <v>18</v>
      </c>
      <c r="C25" t="s">
        <v>38</v>
      </c>
      <c r="D25" t="s">
        <v>32</v>
      </c>
    </row>
    <row r="26" spans="1:4" hidden="1" x14ac:dyDescent="0.25">
      <c r="A26">
        <v>9</v>
      </c>
      <c r="B26" t="s">
        <v>33</v>
      </c>
      <c r="C26" t="s">
        <v>38</v>
      </c>
      <c r="D26" t="s">
        <v>34</v>
      </c>
    </row>
    <row r="27" spans="1:4" hidden="1" x14ac:dyDescent="0.25">
      <c r="A27">
        <v>10</v>
      </c>
      <c r="B27" t="s">
        <v>14</v>
      </c>
      <c r="C27" t="s">
        <v>38</v>
      </c>
      <c r="D27" t="s">
        <v>20</v>
      </c>
    </row>
    <row r="28" spans="1:4" hidden="1" x14ac:dyDescent="0.25">
      <c r="A28">
        <v>11</v>
      </c>
      <c r="B28" t="s">
        <v>15</v>
      </c>
      <c r="C28" t="s">
        <v>38</v>
      </c>
      <c r="D28" t="s">
        <v>21</v>
      </c>
    </row>
    <row r="29" spans="1:4" hidden="1" x14ac:dyDescent="0.25">
      <c r="A29">
        <v>12</v>
      </c>
      <c r="B29" t="s">
        <v>16</v>
      </c>
      <c r="C29" t="s">
        <v>38</v>
      </c>
      <c r="D29" t="s">
        <v>22</v>
      </c>
    </row>
    <row r="30" spans="1:4" hidden="1" x14ac:dyDescent="0.25">
      <c r="A30">
        <v>13</v>
      </c>
      <c r="B30" t="s">
        <v>27</v>
      </c>
      <c r="C30" t="s">
        <v>38</v>
      </c>
      <c r="D30" t="s">
        <v>23</v>
      </c>
    </row>
    <row r="31" spans="1:4" hidden="1" x14ac:dyDescent="0.25">
      <c r="A31">
        <v>14</v>
      </c>
      <c r="B31" t="s">
        <v>28</v>
      </c>
      <c r="C31" t="s">
        <v>38</v>
      </c>
      <c r="D31" t="s">
        <v>24</v>
      </c>
    </row>
    <row r="32" spans="1:4" hidden="1" x14ac:dyDescent="0.25">
      <c r="A32">
        <v>15</v>
      </c>
      <c r="B32" t="s">
        <v>30</v>
      </c>
      <c r="C32" t="s">
        <v>38</v>
      </c>
      <c r="D32" t="s">
        <v>29</v>
      </c>
    </row>
    <row r="33" spans="1:10" hidden="1" x14ac:dyDescent="0.25">
      <c r="A33">
        <v>16</v>
      </c>
      <c r="B33" t="s">
        <v>31</v>
      </c>
      <c r="C33" t="s">
        <v>38</v>
      </c>
      <c r="D33" t="s">
        <v>17</v>
      </c>
    </row>
    <row r="34" spans="1:10" hidden="1" x14ac:dyDescent="0.25">
      <c r="A34">
        <v>17</v>
      </c>
      <c r="B34" t="s">
        <v>32</v>
      </c>
      <c r="C34" t="s">
        <v>38</v>
      </c>
      <c r="D34" t="s">
        <v>18</v>
      </c>
    </row>
    <row r="35" spans="1:10" hidden="1" x14ac:dyDescent="0.25">
      <c r="A35">
        <v>18</v>
      </c>
      <c r="B35" t="s">
        <v>34</v>
      </c>
      <c r="C35" t="s">
        <v>38</v>
      </c>
      <c r="D35" t="s">
        <v>33</v>
      </c>
    </row>
    <row r="36" spans="1:10" hidden="1" x14ac:dyDescent="0.25"/>
    <row r="37" spans="1:10" hidden="1" x14ac:dyDescent="0.25">
      <c r="A37" t="s">
        <v>35</v>
      </c>
      <c r="B37">
        <v>15</v>
      </c>
      <c r="C37">
        <v>17</v>
      </c>
      <c r="D37">
        <v>13</v>
      </c>
      <c r="E37">
        <v>12</v>
      </c>
      <c r="F37">
        <v>1</v>
      </c>
      <c r="G37">
        <v>14</v>
      </c>
      <c r="H37">
        <v>18</v>
      </c>
      <c r="I37">
        <v>16</v>
      </c>
      <c r="J37">
        <v>11</v>
      </c>
    </row>
    <row r="38" spans="1:10" hidden="1" x14ac:dyDescent="0.25">
      <c r="A38" t="s">
        <v>36</v>
      </c>
      <c r="B38" t="str">
        <f>_xlfn.XLOOKUP(B$37,$A$18:$A$35,$B$18:$B$35)</f>
        <v>reassure</v>
      </c>
      <c r="C38" t="str">
        <f t="shared" ref="C38:J38" si="0">_xlfn.XLOOKUP(C$37,$A$18:$A$35,$B$18:$B$35)</f>
        <v>shame</v>
      </c>
      <c r="D38" t="str">
        <f t="shared" si="0"/>
        <v>accept</v>
      </c>
      <c r="E38" t="str">
        <f t="shared" si="0"/>
        <v xml:space="preserve">confront </v>
      </c>
      <c r="F38" t="str">
        <f t="shared" si="0"/>
        <v>befriend</v>
      </c>
      <c r="G38" t="str">
        <f t="shared" si="0"/>
        <v>comfort</v>
      </c>
      <c r="H38" t="str">
        <f t="shared" si="0"/>
        <v>anger</v>
      </c>
      <c r="I38" t="str">
        <f t="shared" si="0"/>
        <v>threaten</v>
      </c>
      <c r="J38" t="str">
        <f t="shared" si="0"/>
        <v>block</v>
      </c>
    </row>
    <row r="39" spans="1:10" hidden="1" x14ac:dyDescent="0.25">
      <c r="A39" t="s">
        <v>37</v>
      </c>
      <c r="B39" t="str">
        <f>_xlfn.XLOOKUP(B$37,$A$18:$A$35,$D$18:$D$35)</f>
        <v>motivate</v>
      </c>
      <c r="C39" t="str">
        <f t="shared" ref="C39:J39" si="1">_xlfn.XLOOKUP(C$37,$A$18:$A$35,$D$18:$D$35)</f>
        <v>reject</v>
      </c>
      <c r="D39" t="str">
        <f t="shared" si="1"/>
        <v>support</v>
      </c>
      <c r="E39" t="str">
        <f t="shared" si="1"/>
        <v>ease</v>
      </c>
      <c r="F39" t="str">
        <f t="shared" si="1"/>
        <v>attack</v>
      </c>
      <c r="G39" t="str">
        <f t="shared" si="1"/>
        <v>welcome</v>
      </c>
      <c r="H39" t="str">
        <f t="shared" si="1"/>
        <v>frustrate</v>
      </c>
      <c r="I39" t="str">
        <f t="shared" si="1"/>
        <v>displease</v>
      </c>
      <c r="J39" t="str">
        <f t="shared" si="1"/>
        <v>cherish</v>
      </c>
    </row>
  </sheetData>
  <conditionalFormatting sqref="C6:C7 C10:C11 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57150</xdr:colOff>
                    <xdr:row>12</xdr:row>
                    <xdr:rowOff>19050</xdr:rowOff>
                  </from>
                  <to>
                    <xdr:col>1</xdr:col>
                    <xdr:colOff>1533525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N21"/>
  <sheetViews>
    <sheetView tabSelected="1" topLeftCell="A2" workbookViewId="0">
      <selection activeCell="A22" sqref="A22"/>
    </sheetView>
  </sheetViews>
  <sheetFormatPr baseColWidth="10" defaultRowHeight="20.25" customHeight="1" x14ac:dyDescent="0.25"/>
  <cols>
    <col min="1" max="1" width="7" customWidth="1"/>
    <col min="2" max="2" width="15.42578125" hidden="1" customWidth="1"/>
    <col min="3" max="3" width="0" hidden="1" customWidth="1"/>
    <col min="6" max="6" width="26.28515625" hidden="1" customWidth="1"/>
    <col min="10" max="10" width="23.42578125" hidden="1" customWidth="1"/>
    <col min="11" max="11" width="10.42578125" customWidth="1"/>
    <col min="12" max="12" width="59.85546875" customWidth="1"/>
    <col min="13" max="40" width="11.42578125" style="12"/>
  </cols>
  <sheetData>
    <row r="1" spans="1:40" s="1" customFormat="1" ht="29.25" customHeight="1" thickBot="1" x14ac:dyDescent="0.3">
      <c r="A1" s="23" t="s">
        <v>60</v>
      </c>
      <c r="B1" s="24" t="s">
        <v>11</v>
      </c>
      <c r="C1" s="24" t="s">
        <v>6</v>
      </c>
      <c r="D1" s="24" t="s">
        <v>25</v>
      </c>
      <c r="E1" s="24" t="s">
        <v>8</v>
      </c>
      <c r="F1" s="24" t="s">
        <v>9</v>
      </c>
      <c r="G1" s="24" t="s">
        <v>7</v>
      </c>
      <c r="H1" s="24" t="s">
        <v>25</v>
      </c>
      <c r="I1" s="24" t="s">
        <v>8</v>
      </c>
      <c r="J1" s="24" t="s">
        <v>10</v>
      </c>
      <c r="K1" s="24" t="s">
        <v>59</v>
      </c>
      <c r="L1" s="25" t="s">
        <v>26</v>
      </c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0" s="28" customFormat="1" ht="20.25" customHeight="1" x14ac:dyDescent="0.25">
      <c r="A2" s="27">
        <v>1</v>
      </c>
      <c r="B2" s="27" t="s">
        <v>39</v>
      </c>
      <c r="C2" s="27" t="str">
        <f>'general info'!C6</f>
        <v>ELSC03</v>
      </c>
      <c r="D2" s="27" t="s">
        <v>61</v>
      </c>
      <c r="E2" s="27" t="s">
        <v>19</v>
      </c>
      <c r="F2" s="27" t="str">
        <f>CONCATENATE(C2, "_", B2, "_",D2, " ", E2, "_", 'general info'!$C$7, ".xls" )</f>
        <v>ELSC03_Test_1 _M caress_e0237.xls</v>
      </c>
      <c r="G2" s="27" t="str">
        <f>'general info'!C10</f>
        <v>ELJO11</v>
      </c>
      <c r="H2" s="27" t="str">
        <f>IF(D2="M","W",IF(D2="W","M",""))</f>
        <v>W</v>
      </c>
      <c r="I2" s="27" t="s">
        <v>13</v>
      </c>
      <c r="J2" s="27" t="str">
        <f>CONCATENATE(G2, "_", B2, "_",H2, " ",I2, "_", 'general info'!$C$7, ".xls" )</f>
        <v>ELJO11_Test_1 _W banish_e0237.xls</v>
      </c>
      <c r="K2" s="27">
        <v>0</v>
      </c>
      <c r="L2" s="27"/>
      <c r="M2" s="12"/>
    </row>
    <row r="3" spans="1:40" s="12" customFormat="1" ht="20.25" customHeight="1" thickBot="1" x14ac:dyDescent="0.3">
      <c r="A3" s="30">
        <v>1</v>
      </c>
      <c r="B3" s="30" t="s">
        <v>40</v>
      </c>
      <c r="C3" s="30" t="str">
        <f>'general info'!C6</f>
        <v>ELSC03</v>
      </c>
      <c r="D3" s="30" t="s">
        <v>62</v>
      </c>
      <c r="E3" s="30" t="s">
        <v>13</v>
      </c>
      <c r="F3" s="30" t="str">
        <f>CONCATENATE(C3, "_", B3, "_",D3, " ", E3, "_", 'general info'!$C$7, ".xls" )</f>
        <v>ELSC03_Test_2_W banish_e0237.xls</v>
      </c>
      <c r="G3" s="30" t="str">
        <f>'general info'!C10</f>
        <v>ELJO11</v>
      </c>
      <c r="H3" s="30" t="str">
        <f t="shared" ref="H3:H21" si="0">IF(D3="M","W",IF(D3="W","M",""))</f>
        <v>M</v>
      </c>
      <c r="I3" s="30" t="s">
        <v>19</v>
      </c>
      <c r="J3" s="30" t="str">
        <f>CONCATENATE(G3, "_", B3, "_",H3, " ", I3, "_", 'general info'!$C$7, ".xls" )</f>
        <v>ELJO11_Test_2_M caress_e0237.xls</v>
      </c>
      <c r="K3" s="30">
        <v>0</v>
      </c>
      <c r="L3" s="30"/>
    </row>
    <row r="4" spans="1:40" s="10" customFormat="1" ht="20.25" customHeight="1" x14ac:dyDescent="0.25">
      <c r="A4" s="13">
        <v>1</v>
      </c>
      <c r="B4" s="14" t="s">
        <v>41</v>
      </c>
      <c r="C4" s="14" t="str">
        <f>'general info'!C6</f>
        <v>ELSC03</v>
      </c>
      <c r="D4" s="14" t="s">
        <v>61</v>
      </c>
      <c r="E4" s="14" t="str" cm="1">
        <f t="array" ref="E4">_xlfn.XLOOKUP('general info'!C$37,'general info'!$A$18:'general info'!$A$35,'general info'!$B$18:'general info'!$B$35)</f>
        <v>shame</v>
      </c>
      <c r="F4" s="14" t="str">
        <f>CONCATENATE(C4, "_", B4, "_",D4, " ", E4, "_", 'general info'!$C$7, ".xls" )</f>
        <v>ELSC03_Trial_1_M shame_e0237.xls</v>
      </c>
      <c r="G4" s="14" t="str">
        <f>'general info'!C10</f>
        <v>ELJO11</v>
      </c>
      <c r="H4" s="14" t="str">
        <f t="shared" si="0"/>
        <v>W</v>
      </c>
      <c r="I4" s="14" t="str" cm="1">
        <f t="array" ref="I4">_xlfn.XLOOKUP('general info'!B$37,'general info'!$A$18:'general info'!$A$35,'general info'!$D$18:'general info'!$D$35)</f>
        <v>motivate</v>
      </c>
      <c r="J4" s="14" t="str">
        <f>CONCATENATE(G4, "_", B4, "_",H4, " ", I4, "_", 'general info'!$C$7, ".xls" )</f>
        <v>ELJO11_Trial_1_W motivate_e0237.xls</v>
      </c>
      <c r="K4" s="14">
        <v>1</v>
      </c>
      <c r="L4" s="15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0" ht="20.25" customHeight="1" x14ac:dyDescent="0.25">
      <c r="A5" s="16">
        <v>1</v>
      </c>
      <c r="B5" s="3" t="s">
        <v>42</v>
      </c>
      <c r="C5" s="3" t="str">
        <f>'general info'!C6</f>
        <v>ELSC03</v>
      </c>
      <c r="D5" s="3" t="s">
        <v>61</v>
      </c>
      <c r="E5" s="3" t="str" cm="1">
        <f t="array" ref="E5">_xlfn.XLOOKUP('general info'!B$37,'general info'!$A$18:'general info'!$A$35,'general info'!$B$18:'general info'!$B$35)</f>
        <v>reassure</v>
      </c>
      <c r="F5" s="3" t="str">
        <f>CONCATENATE(C5, "_", B5, "_",D5, " ", E5, "_", 'general info'!$C$7, ".xls" )</f>
        <v>ELSC03_Trial_2_M reassure_e0237.xls</v>
      </c>
      <c r="G5" s="3" t="str">
        <f>'general info'!C10</f>
        <v>ELJO11</v>
      </c>
      <c r="H5" s="9" t="str">
        <f t="shared" si="0"/>
        <v>W</v>
      </c>
      <c r="I5" s="3" t="str" cm="1">
        <f t="array" ref="I5">_xlfn.XLOOKUP('general info'!C$37,'general info'!$A$18:'general info'!$A$35,'general info'!$D$18:'general info'!$D$35)</f>
        <v>reject</v>
      </c>
      <c r="J5" s="3" t="str">
        <f>CONCATENATE(G5, "_", B5, "_",H5, " ", I5, "_", 'general info'!$C$7, ".xls" )</f>
        <v>ELJO11_Trial_2_W reject_e0237.xls</v>
      </c>
      <c r="K5" s="3">
        <v>1</v>
      </c>
      <c r="L5" s="17"/>
    </row>
    <row r="6" spans="1:40" s="10" customFormat="1" ht="20.25" customHeight="1" x14ac:dyDescent="0.25">
      <c r="A6" s="18">
        <v>1</v>
      </c>
      <c r="B6" s="2" t="s">
        <v>43</v>
      </c>
      <c r="C6" s="2" t="str">
        <f>'general info'!C6</f>
        <v>ELSC03</v>
      </c>
      <c r="D6" s="2" t="s">
        <v>61</v>
      </c>
      <c r="E6" s="2" t="str" cm="1">
        <f t="array" ref="E6">_xlfn.XLOOKUP('general info'!D$37,'general info'!$A$18:'general info'!$A$35,'general info'!$B$18:'general info'!$B$35)</f>
        <v>accept</v>
      </c>
      <c r="F6" s="2" t="str">
        <f>CONCATENATE(C6, "_", B6, "_",D6, " ", E6, "_", 'general info'!$C$7, ".xls" )</f>
        <v>ELSC03_Trial_3_M accept_e0237.xls</v>
      </c>
      <c r="G6" s="2" t="str">
        <f>'general info'!C10</f>
        <v>ELJO11</v>
      </c>
      <c r="H6" s="2" t="str">
        <f t="shared" si="0"/>
        <v>W</v>
      </c>
      <c r="I6" s="2" t="str" cm="1">
        <f t="array" ref="I6">_xlfn.XLOOKUP('general info'!D$37,'general info'!$A$18:'general info'!$A$35,'general info'!$D$18:'general info'!$D$35)</f>
        <v>support</v>
      </c>
      <c r="J6" s="2" t="str">
        <f>CONCATENATE(G6, "_", B6, "_",H6, " ", I6, "_", 'general info'!$C$7, ".xls" )</f>
        <v>ELJO11_Trial_3_W support_e0237.xls</v>
      </c>
      <c r="K6" s="2">
        <v>1</v>
      </c>
      <c r="L6" s="19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0" ht="20.25" customHeight="1" x14ac:dyDescent="0.25">
      <c r="A7" s="16">
        <v>1</v>
      </c>
      <c r="B7" s="3" t="s">
        <v>44</v>
      </c>
      <c r="C7" s="3" t="str">
        <f>'general info'!C6</f>
        <v>ELSC03</v>
      </c>
      <c r="D7" s="3" t="s">
        <v>61</v>
      </c>
      <c r="E7" s="3" t="str" cm="1">
        <f t="array" ref="E7">_xlfn.XLOOKUP('general info'!E$37,'general info'!$A$18:'general info'!$A$35,'general info'!$B$18:'general info'!$B$35)</f>
        <v xml:space="preserve">confront </v>
      </c>
      <c r="F7" s="3" t="str">
        <f>CONCATENATE(C7, "_", B7, "_",D7, " ", E7, "_", 'general info'!$C$7, ".xls" )</f>
        <v>ELSC03_Trial_4_M confront _e0237.xls</v>
      </c>
      <c r="G7" s="3" t="str">
        <f>'general info'!C10</f>
        <v>ELJO11</v>
      </c>
      <c r="H7" s="9" t="str">
        <f t="shared" si="0"/>
        <v>W</v>
      </c>
      <c r="I7" s="3" t="str" cm="1">
        <f t="array" ref="I7">_xlfn.XLOOKUP('general info'!E$37,'general info'!$A$18:'general info'!$A$35,'general info'!$D$18:'general info'!$D$35)</f>
        <v>ease</v>
      </c>
      <c r="J7" s="3" t="str">
        <f>CONCATENATE(G7, "_", B7, "_",H7, " ", I7, "_", 'general info'!$C$7, ".xls" )</f>
        <v>ELJO11_Trial_4_W ease_e0237.xls</v>
      </c>
      <c r="K7" s="3">
        <v>1</v>
      </c>
      <c r="L7" s="17"/>
    </row>
    <row r="8" spans="1:40" s="10" customFormat="1" ht="20.25" customHeight="1" x14ac:dyDescent="0.25">
      <c r="A8" s="18">
        <v>1</v>
      </c>
      <c r="B8" s="2" t="s">
        <v>45</v>
      </c>
      <c r="C8" s="2" t="str">
        <f>'general info'!C6</f>
        <v>ELSC03</v>
      </c>
      <c r="D8" s="2" t="s">
        <v>61</v>
      </c>
      <c r="E8" s="2" t="str" cm="1">
        <f t="array" ref="E8">_xlfn.XLOOKUP('general info'!F$37,'general info'!$A$18:'general info'!$A$35,'general info'!$B$18:'general info'!$B$35)</f>
        <v>befriend</v>
      </c>
      <c r="F8" s="2" t="str">
        <f>CONCATENATE(C8, "_", B8, "_",D8, " ", E8, "_", 'general info'!$C$7, ".xls" )</f>
        <v>ELSC03_Trial_5_M befriend_e0237.xls</v>
      </c>
      <c r="G8" s="2" t="str">
        <f>'general info'!C10</f>
        <v>ELJO11</v>
      </c>
      <c r="H8" s="2" t="str">
        <f t="shared" si="0"/>
        <v>W</v>
      </c>
      <c r="I8" s="2" t="str" cm="1">
        <f t="array" ref="I8">_xlfn.XLOOKUP('general info'!F$37,'general info'!$A$18:'general info'!$A$35,'general info'!$D$18:'general info'!$D$35)</f>
        <v>attack</v>
      </c>
      <c r="J8" s="2" t="str">
        <f>CONCATENATE(G8, "_", B8, "_",H8, " ", I8, "_", 'general info'!$C$7, ".xls" )</f>
        <v>ELJO11_Trial_5_W attack_e0237.xls</v>
      </c>
      <c r="K8" s="2">
        <v>1</v>
      </c>
      <c r="L8" s="19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0" ht="20.25" customHeight="1" x14ac:dyDescent="0.25">
      <c r="A9" s="16">
        <v>1</v>
      </c>
      <c r="B9" s="3" t="s">
        <v>46</v>
      </c>
      <c r="C9" s="3" t="str">
        <f>'general info'!C6</f>
        <v>ELSC03</v>
      </c>
      <c r="D9" s="3" t="s">
        <v>61</v>
      </c>
      <c r="E9" s="3" t="str" cm="1">
        <f t="array" ref="E9">_xlfn.XLOOKUP('general info'!G$37,'general info'!$A$18:'general info'!$A$35,'general info'!$B$18:'general info'!$B$35)</f>
        <v>comfort</v>
      </c>
      <c r="F9" s="3" t="str">
        <f>CONCATENATE(C9, "_", B9, "_",D9, " ", E9, "_", 'general info'!$C$7, ".xls" )</f>
        <v>ELSC03_Trial_6_M comfort_e0237.xls</v>
      </c>
      <c r="G9" s="3" t="str">
        <f>'general info'!C10</f>
        <v>ELJO11</v>
      </c>
      <c r="H9" s="9" t="str">
        <f t="shared" si="0"/>
        <v>W</v>
      </c>
      <c r="I9" s="3" t="str" cm="1">
        <f t="array" ref="I9">_xlfn.XLOOKUP('general info'!G$37,'general info'!$A$18:'general info'!$A$35,'general info'!$D$18:'general info'!$D$35)</f>
        <v>welcome</v>
      </c>
      <c r="J9" s="3" t="str">
        <f>CONCATENATE(G9, "_", B9, "_",H9, " ", I9, "_", 'general info'!$C$7, ".xls" )</f>
        <v>ELJO11_Trial_6_W welcome_e0237.xls</v>
      </c>
      <c r="K9" s="3">
        <v>1</v>
      </c>
      <c r="L9" s="17"/>
    </row>
    <row r="10" spans="1:40" s="10" customFormat="1" ht="20.25" customHeight="1" x14ac:dyDescent="0.25">
      <c r="A10" s="18">
        <v>1</v>
      </c>
      <c r="B10" s="2" t="s">
        <v>47</v>
      </c>
      <c r="C10" s="2" t="str">
        <f>'general info'!C6</f>
        <v>ELSC03</v>
      </c>
      <c r="D10" s="2" t="s">
        <v>61</v>
      </c>
      <c r="E10" s="2" t="str" cm="1">
        <f t="array" ref="E10">_xlfn.XLOOKUP('general info'!H$37,'general info'!$A$18:'general info'!$A$35,'general info'!$B$18:'general info'!$B$35)</f>
        <v>anger</v>
      </c>
      <c r="F10" s="2" t="str">
        <f>CONCATENATE(C10, "_", B10, "_",D10, " ", E10, "_", 'general info'!$C$7, ".xls" )</f>
        <v>ELSC03_Trial_7_M anger_e0237.xls</v>
      </c>
      <c r="G10" s="2" t="str">
        <f>'general info'!C10</f>
        <v>ELJO11</v>
      </c>
      <c r="H10" s="2" t="str">
        <f t="shared" si="0"/>
        <v>W</v>
      </c>
      <c r="I10" s="2" t="str" cm="1">
        <f t="array" ref="I10">_xlfn.XLOOKUP('general info'!H$37,'general info'!$A$18:'general info'!$A$35,'general info'!$D$18:'general info'!$D$35)</f>
        <v>frustrate</v>
      </c>
      <c r="J10" s="2" t="str">
        <f>CONCATENATE(G10, "_", B10, "_",H10, " ", I10, "_", 'general info'!$C$7, ".xls" )</f>
        <v>ELJO11_Trial_7_W frustrate_e0237.xls</v>
      </c>
      <c r="K10" s="2">
        <v>1</v>
      </c>
      <c r="L10" s="19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0" ht="20.25" customHeight="1" x14ac:dyDescent="0.25">
      <c r="A11" s="16">
        <v>1</v>
      </c>
      <c r="B11" s="3" t="s">
        <v>48</v>
      </c>
      <c r="C11" s="3" t="str">
        <f>'general info'!C6</f>
        <v>ELSC03</v>
      </c>
      <c r="D11" s="3" t="s">
        <v>61</v>
      </c>
      <c r="E11" s="3" t="str" cm="1">
        <f t="array" ref="E11">_xlfn.XLOOKUP('general info'!I$37,'general info'!$A$18:'general info'!$A$35,'general info'!$B$18:'general info'!$B$35)</f>
        <v>threaten</v>
      </c>
      <c r="F11" s="3" t="str">
        <f>CONCATENATE(C11, "_", B11, "_",D11, " ", E11, "_", 'general info'!$C$7, ".xls" )</f>
        <v>ELSC03_Trial_8_M threaten_e0237.xls</v>
      </c>
      <c r="G11" s="3" t="str">
        <f>'general info'!C10</f>
        <v>ELJO11</v>
      </c>
      <c r="H11" s="9" t="str">
        <f t="shared" si="0"/>
        <v>W</v>
      </c>
      <c r="I11" s="3" t="str" cm="1">
        <f t="array" ref="I11">_xlfn.XLOOKUP('general info'!I$37,'general info'!$A$18:'general info'!$A$35,'general info'!$D$18:'general info'!$D$35)</f>
        <v>displease</v>
      </c>
      <c r="J11" s="3" t="str">
        <f>CONCATENATE(G11, "_", B11, "_",H11, " ", I11, "_", 'general info'!$C$7, ".xls" )</f>
        <v>ELJO11_Trial_8_W displease_e0237.xls</v>
      </c>
      <c r="K11" s="3">
        <v>1</v>
      </c>
      <c r="L11" s="17"/>
    </row>
    <row r="12" spans="1:40" s="10" customFormat="1" ht="20.25" customHeight="1" thickBot="1" x14ac:dyDescent="0.3">
      <c r="A12" s="20">
        <v>1</v>
      </c>
      <c r="B12" s="21" t="s">
        <v>49</v>
      </c>
      <c r="C12" s="21" t="str">
        <f>'general info'!C6</f>
        <v>ELSC03</v>
      </c>
      <c r="D12" s="21" t="s">
        <v>61</v>
      </c>
      <c r="E12" s="21" t="str" cm="1">
        <f t="array" ref="E12">_xlfn.XLOOKUP('general info'!J$37,'general info'!$A$18:'general info'!$A$35,'general info'!$B$18:'general info'!$B$35)</f>
        <v>block</v>
      </c>
      <c r="F12" s="21" t="str">
        <f>CONCATENATE(C12, "_", B12, "_",D12, " ", E12, "_", 'general info'!$C$7, ".xls" )</f>
        <v>ELSC03_Trial_9_M block_e0237.xls</v>
      </c>
      <c r="G12" s="21" t="str">
        <f>'general info'!C10</f>
        <v>ELJO11</v>
      </c>
      <c r="H12" s="21" t="str">
        <f t="shared" si="0"/>
        <v>W</v>
      </c>
      <c r="I12" s="21" t="str" cm="1">
        <f t="array" ref="I12">_xlfn.XLOOKUP('general info'!J$37,'general info'!$A$18:'general info'!$A$35,'general info'!$D$18:'general info'!$D$35)</f>
        <v>cherish</v>
      </c>
      <c r="J12" s="21" t="str">
        <f>CONCATENATE(G12, "_", B12, "_",H12, " ", I12, "_", 'general info'!$C$7, ".xls" )</f>
        <v>ELJO11_Trial_9_W cherish_e0237.xls</v>
      </c>
      <c r="K12" s="21">
        <v>1</v>
      </c>
      <c r="L12" s="2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0" s="12" customFormat="1" ht="20.25" customHeight="1" x14ac:dyDescent="0.25">
      <c r="A13" s="26">
        <v>1</v>
      </c>
      <c r="B13" s="26" t="s">
        <v>50</v>
      </c>
      <c r="C13" s="26" t="str">
        <f>'general info'!C6</f>
        <v>ELSC03</v>
      </c>
      <c r="D13" s="26" t="s">
        <v>62</v>
      </c>
      <c r="E13" s="26" t="str">
        <f>I4</f>
        <v>motivate</v>
      </c>
      <c r="F13" s="26" t="str">
        <f>CONCATENATE(C13, "_", B13, "_",D13, " ", E13, "_", 'general info'!$C$7, ".xls" )</f>
        <v>ELSC03_Trial_10_W motivate_e0237.xls</v>
      </c>
      <c r="G13" s="26" t="str">
        <f>'general info'!C10</f>
        <v>ELJO11</v>
      </c>
      <c r="H13" s="26" t="str">
        <f t="shared" si="0"/>
        <v>M</v>
      </c>
      <c r="I13" s="26" t="str">
        <f>E4</f>
        <v>shame</v>
      </c>
      <c r="J13" s="26" t="str">
        <f>CONCATENATE(G13, "_", B13, "_",H13, " ", I13, "_", 'general info'!$C$7, ".xls" )</f>
        <v>ELJO11_Trial_10_M shame_e0237.xls</v>
      </c>
      <c r="K13" s="26">
        <v>1</v>
      </c>
      <c r="L13" s="26"/>
    </row>
    <row r="14" spans="1:40" s="28" customFormat="1" ht="20.25" customHeight="1" x14ac:dyDescent="0.25">
      <c r="A14" s="29">
        <v>1</v>
      </c>
      <c r="B14" s="29" t="s">
        <v>51</v>
      </c>
      <c r="C14" s="29" t="str">
        <f>'general info'!C6</f>
        <v>ELSC03</v>
      </c>
      <c r="D14" s="29" t="s">
        <v>62</v>
      </c>
      <c r="E14" s="29" t="str">
        <f>I5</f>
        <v>reject</v>
      </c>
      <c r="F14" s="29" t="str">
        <f>CONCATENATE(C14, "_", B14, "_",D14, " ", E14, "_", 'general info'!$C$7, ".xls" )</f>
        <v>ELSC03_Trial_11_W reject_e0237.xls</v>
      </c>
      <c r="G14" s="29" t="str">
        <f>'general info'!C10</f>
        <v>ELJO11</v>
      </c>
      <c r="H14" s="29" t="str">
        <f t="shared" si="0"/>
        <v>M</v>
      </c>
      <c r="I14" s="29" t="str">
        <f>E5</f>
        <v>reassure</v>
      </c>
      <c r="J14" s="29" t="str">
        <f>CONCATENATE(G14, "_", B14, "_",H14, " ", I14, "_", 'general info'!$C$7, ".xls" )</f>
        <v>ELJO11_Trial_11_M reassure_e0237.xls</v>
      </c>
      <c r="K14" s="29">
        <v>1</v>
      </c>
      <c r="L14" s="29"/>
      <c r="M14" s="12"/>
    </row>
    <row r="15" spans="1:40" s="12" customFormat="1" ht="20.25" customHeight="1" x14ac:dyDescent="0.25">
      <c r="A15" s="9">
        <v>1</v>
      </c>
      <c r="B15" s="9" t="s">
        <v>52</v>
      </c>
      <c r="C15" s="9" t="str">
        <f>'general info'!C6</f>
        <v>ELSC03</v>
      </c>
      <c r="D15" s="9" t="s">
        <v>62</v>
      </c>
      <c r="E15" s="9" t="str">
        <f t="shared" ref="E15:E21" si="1">I6</f>
        <v>support</v>
      </c>
      <c r="F15" s="9" t="str">
        <f>CONCATENATE(C15, "_", B15, "_",D15, " ", E15, "_", 'general info'!$C$7, ".xls" )</f>
        <v>ELSC03_Trial_12_W support_e0237.xls</v>
      </c>
      <c r="G15" s="9" t="str">
        <f>'general info'!C10</f>
        <v>ELJO11</v>
      </c>
      <c r="H15" s="9" t="str">
        <f t="shared" si="0"/>
        <v>M</v>
      </c>
      <c r="I15" s="9" t="str">
        <f t="shared" ref="I15:I21" si="2">E6</f>
        <v>accept</v>
      </c>
      <c r="J15" s="9" t="str">
        <f>CONCATENATE(G15, "_", B15, "_",H15, " ", I15, "_", 'general info'!$C$7, ".xls" )</f>
        <v>ELJO11_Trial_12_M accept_e0237.xls</v>
      </c>
      <c r="K15" s="9">
        <v>1</v>
      </c>
      <c r="L15" s="9"/>
    </row>
    <row r="16" spans="1:40" s="28" customFormat="1" ht="20.25" customHeight="1" x14ac:dyDescent="0.25">
      <c r="A16" s="29">
        <v>1</v>
      </c>
      <c r="B16" s="29" t="s">
        <v>53</v>
      </c>
      <c r="C16" s="29">
        <f>'general info'!C8</f>
        <v>0</v>
      </c>
      <c r="D16" s="29" t="s">
        <v>62</v>
      </c>
      <c r="E16" s="29" t="str">
        <f t="shared" si="1"/>
        <v>ease</v>
      </c>
      <c r="F16" s="29" t="str">
        <f>CONCATENATE(C16, "_", B16, "_",D16, " ", E16, "_", 'general info'!$C$7, ".xls" )</f>
        <v>0_Trial_13_W ease_e0237.xls</v>
      </c>
      <c r="G16" s="29">
        <f>'general info'!C12</f>
        <v>0</v>
      </c>
      <c r="H16" s="29" t="str">
        <f t="shared" si="0"/>
        <v>M</v>
      </c>
      <c r="I16" s="29" t="str">
        <f t="shared" si="2"/>
        <v xml:space="preserve">confront </v>
      </c>
      <c r="J16" s="29" t="str">
        <f>CONCATENATE(G16, "_", B16, "_",H16, " ", I16, "_", 'general info'!$C$7, ".xls" )</f>
        <v>0_Trial_13_M confront _e0237.xls</v>
      </c>
      <c r="K16" s="29">
        <v>1</v>
      </c>
      <c r="L16" s="29"/>
      <c r="M16" s="12"/>
    </row>
    <row r="17" spans="1:13" s="12" customFormat="1" ht="20.25" customHeight="1" x14ac:dyDescent="0.25">
      <c r="A17" s="9" t="s">
        <v>68</v>
      </c>
      <c r="B17" s="9" t="s">
        <v>54</v>
      </c>
      <c r="C17" s="9">
        <f>'general info'!C8</f>
        <v>0</v>
      </c>
      <c r="D17" s="9" t="s">
        <v>62</v>
      </c>
      <c r="E17" s="9" t="str">
        <f t="shared" si="1"/>
        <v>attack</v>
      </c>
      <c r="F17" s="9" t="str">
        <f>CONCATENATE(C17, "_", B17, "_",D17, " ", E17, "_", 'general info'!$C$7, ".xls" )</f>
        <v>0_Trial_14_W attack_e0237.xls</v>
      </c>
      <c r="G17" s="9">
        <f>'general info'!C12</f>
        <v>0</v>
      </c>
      <c r="H17" s="9" t="str">
        <f t="shared" si="0"/>
        <v>M</v>
      </c>
      <c r="I17" s="9" t="str">
        <f t="shared" si="2"/>
        <v>befriend</v>
      </c>
      <c r="J17" s="9" t="str">
        <f>CONCATENATE(G17, "_", B17, "_",H17, " ", I17, "_", 'general info'!$C$7, ".xls" )</f>
        <v>0_Trial_14_M befriend_e0237.xls</v>
      </c>
      <c r="K17" s="9">
        <v>1</v>
      </c>
      <c r="L17" s="9"/>
    </row>
    <row r="18" spans="1:13" s="28" customFormat="1" ht="20.25" customHeight="1" x14ac:dyDescent="0.25">
      <c r="A18" s="29">
        <v>1</v>
      </c>
      <c r="B18" s="29" t="s">
        <v>55</v>
      </c>
      <c r="C18" s="29" t="str">
        <f>'general info'!C10</f>
        <v>ELJO11</v>
      </c>
      <c r="D18" s="29" t="s">
        <v>62</v>
      </c>
      <c r="E18" s="29" t="str">
        <f t="shared" si="1"/>
        <v>welcome</v>
      </c>
      <c r="F18" s="29" t="str">
        <f>CONCATENATE(C18, "_", B18, "_",D18, " ", E18, "_", 'general info'!$C$7, ".xls" )</f>
        <v>ELJO11_Trial_15_W welcome_e0237.xls</v>
      </c>
      <c r="G18" s="29">
        <f>'general info'!C14</f>
        <v>0</v>
      </c>
      <c r="H18" s="29" t="str">
        <f t="shared" si="0"/>
        <v>M</v>
      </c>
      <c r="I18" s="29" t="str">
        <f t="shared" si="2"/>
        <v>comfort</v>
      </c>
      <c r="J18" s="29" t="str">
        <f>CONCATENATE(G18, "_", B18, "_",H18, " ", I18, "_", 'general info'!$C$7, ".xls" )</f>
        <v>0_Trial_15_M comfort_e0237.xls</v>
      </c>
      <c r="K18" s="29">
        <v>1</v>
      </c>
      <c r="L18" s="29"/>
      <c r="M18" s="12"/>
    </row>
    <row r="19" spans="1:13" s="12" customFormat="1" ht="20.25" customHeight="1" x14ac:dyDescent="0.25">
      <c r="A19" s="9">
        <v>1</v>
      </c>
      <c r="B19" s="9" t="s">
        <v>56</v>
      </c>
      <c r="C19" s="9" t="str">
        <f>'general info'!C10</f>
        <v>ELJO11</v>
      </c>
      <c r="D19" s="9" t="s">
        <v>62</v>
      </c>
      <c r="E19" s="9" t="str">
        <f t="shared" si="1"/>
        <v>frustrate</v>
      </c>
      <c r="F19" s="9" t="str">
        <f>CONCATENATE(C19, "_", B19, "_",D19, " ", E19, "_", 'general info'!$C$7, ".xls" )</f>
        <v>ELJO11_Trial_16_W frustrate_e0237.xls</v>
      </c>
      <c r="G19" s="9">
        <f>'general info'!C14</f>
        <v>0</v>
      </c>
      <c r="H19" s="9" t="str">
        <f t="shared" si="0"/>
        <v>M</v>
      </c>
      <c r="I19" s="9" t="str">
        <f t="shared" si="2"/>
        <v>anger</v>
      </c>
      <c r="J19" s="9" t="str">
        <f>CONCATENATE(G19, "_", B19, "_",H19, " ", I19, "_", 'general info'!$C$7, ".xls" )</f>
        <v>0_Trial_16_M anger_e0237.xls</v>
      </c>
      <c r="K19" s="9">
        <v>1</v>
      </c>
      <c r="L19" s="9"/>
    </row>
    <row r="20" spans="1:13" s="28" customFormat="1" ht="20.25" customHeight="1" x14ac:dyDescent="0.25">
      <c r="A20" s="29">
        <v>1</v>
      </c>
      <c r="B20" s="29" t="s">
        <v>57</v>
      </c>
      <c r="C20" s="29">
        <f>'general info'!C12</f>
        <v>0</v>
      </c>
      <c r="D20" s="29" t="s">
        <v>62</v>
      </c>
      <c r="E20" s="29" t="str">
        <f t="shared" si="1"/>
        <v>displease</v>
      </c>
      <c r="F20" s="29" t="str">
        <f>CONCATENATE(C20, "_", B20, "_",D20, " ", E20, "_", 'general info'!$C$7, ".xls" )</f>
        <v>0_Trial_17_W displease_e0237.xls</v>
      </c>
      <c r="G20" s="29">
        <f>'general info'!C16</f>
        <v>0</v>
      </c>
      <c r="H20" s="29" t="str">
        <f t="shared" si="0"/>
        <v>M</v>
      </c>
      <c r="I20" s="29" t="str">
        <f t="shared" si="2"/>
        <v>threaten</v>
      </c>
      <c r="J20" s="29" t="str">
        <f>CONCATENATE(G20, "_", B20, "_",H20, " ", I20, "_", 'general info'!$C$7, ".xls" )</f>
        <v>0_Trial_17_M threaten_e0237.xls</v>
      </c>
      <c r="K20" s="29">
        <v>1</v>
      </c>
      <c r="L20" s="29"/>
      <c r="M20" s="12"/>
    </row>
    <row r="21" spans="1:13" s="12" customFormat="1" ht="20.25" customHeight="1" x14ac:dyDescent="0.25">
      <c r="A21" s="9">
        <v>1</v>
      </c>
      <c r="B21" s="9" t="s">
        <v>58</v>
      </c>
      <c r="C21" s="9">
        <f>'general info'!C12</f>
        <v>0</v>
      </c>
      <c r="D21" s="9" t="s">
        <v>62</v>
      </c>
      <c r="E21" s="9" t="str">
        <f t="shared" si="1"/>
        <v>cherish</v>
      </c>
      <c r="F21" s="9" t="str">
        <f>CONCATENATE(C21, "_", B21, "_",D21, " ", E21, "_", 'general info'!$C$7, ".xls" )</f>
        <v>0_Trial_18_W cherish_e0237.xls</v>
      </c>
      <c r="G21" s="9">
        <f>'general info'!C16</f>
        <v>0</v>
      </c>
      <c r="H21" s="9" t="str">
        <f t="shared" si="0"/>
        <v>M</v>
      </c>
      <c r="I21" s="9" t="str">
        <f t="shared" si="2"/>
        <v>block</v>
      </c>
      <c r="J21" s="9" t="str">
        <f>CONCATENATE(G21, "_", B21, "_",H21, " ", I21, "_", 'general info'!$C$7, ".xls" )</f>
        <v>0_Trial_18_M block_e0237.xls</v>
      </c>
      <c r="K21" s="9">
        <v>1</v>
      </c>
      <c r="L21" s="9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</cp:lastModifiedBy>
  <dcterms:created xsi:type="dcterms:W3CDTF">2020-06-15T09:53:56Z</dcterms:created>
  <dcterms:modified xsi:type="dcterms:W3CDTF">2020-06-23T15:47:06Z</dcterms:modified>
</cp:coreProperties>
</file>