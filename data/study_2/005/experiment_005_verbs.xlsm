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Sabrina\Documents\master_thesis\#study_27_07_20\005\"/>
    </mc:Choice>
  </mc:AlternateContent>
  <xr:revisionPtr revIDLastSave="0" documentId="13_ncr:1_{4DD79DCD-1AF9-470C-B7A5-FBEEADC765F9}" xr6:coauthVersionLast="45" xr6:coauthVersionMax="45" xr10:uidLastSave="{00000000-0000-0000-0000-000000000000}"/>
  <bookViews>
    <workbookView xWindow="-108" yWindow="-108" windowWidth="23256" windowHeight="12576" activeTab="1" xr2:uid="{7D9B47C3-80F1-4309-B28A-1FDD15A030D7}"/>
  </bookViews>
  <sheets>
    <sheet name="general info" sheetId="1" r:id="rId1"/>
    <sheet name="recording 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4" i="2" l="1"/>
  <c r="M5" i="2"/>
  <c r="M6" i="2"/>
  <c r="M7" i="2"/>
  <c r="M8" i="2"/>
  <c r="M9" i="2"/>
  <c r="M10" i="2"/>
  <c r="M11" i="2"/>
  <c r="M12" i="2"/>
  <c r="M13" i="2"/>
  <c r="M14" i="2"/>
  <c r="M15" i="2"/>
  <c r="B26" i="1" l="1"/>
  <c r="D27" i="1" l="1"/>
  <c r="E27" i="1"/>
  <c r="G13" i="2" s="1"/>
  <c r="F27" i="1"/>
  <c r="G14" i="2" s="1"/>
  <c r="G27" i="1"/>
  <c r="G26" i="1"/>
  <c r="G9" i="2" l="1"/>
  <c r="G12" i="2"/>
  <c r="G15" i="2"/>
  <c r="G4" i="2" l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2" i="2"/>
  <c r="C2" i="2"/>
  <c r="B27" i="1" l="1"/>
  <c r="C12" i="2"/>
  <c r="I12" i="2"/>
  <c r="N12" i="2" s="1"/>
  <c r="C13" i="2"/>
  <c r="I13" i="2"/>
  <c r="N13" i="2" s="1"/>
  <c r="C14" i="2"/>
  <c r="I14" i="2"/>
  <c r="N14" i="2" s="1"/>
  <c r="C15" i="2"/>
  <c r="I15" i="2"/>
  <c r="N15" i="2" s="1"/>
  <c r="C27" i="1"/>
  <c r="C26" i="1"/>
  <c r="D26" i="1"/>
  <c r="E26" i="1"/>
  <c r="F26" i="1"/>
  <c r="G5" i="2" l="1"/>
  <c r="G10" i="2"/>
  <c r="G11" i="2"/>
  <c r="G8" i="2"/>
  <c r="G6" i="2"/>
  <c r="G7" i="2"/>
  <c r="H14" i="2"/>
  <c r="H13" i="2"/>
  <c r="H15" i="2"/>
  <c r="H12" i="2"/>
  <c r="I11" i="2" l="1"/>
  <c r="N11" i="2" s="1"/>
  <c r="I10" i="2"/>
  <c r="N10" i="2" s="1"/>
  <c r="I9" i="2"/>
  <c r="N9" i="2" s="1"/>
  <c r="I8" i="2"/>
  <c r="N8" i="2" s="1"/>
  <c r="I7" i="2"/>
  <c r="N7" i="2" s="1"/>
  <c r="I6" i="2"/>
  <c r="N6" i="2" s="1"/>
  <c r="I5" i="2"/>
  <c r="N5" i="2" s="1"/>
  <c r="I4" i="2"/>
  <c r="N4" i="2" s="1"/>
  <c r="I3" i="2"/>
  <c r="N3" i="2" s="1"/>
  <c r="I2" i="2"/>
  <c r="N2" i="2" s="1"/>
  <c r="C11" i="2"/>
  <c r="H11" i="2" s="1"/>
  <c r="C10" i="2"/>
  <c r="H10" i="2" s="1"/>
  <c r="C9" i="2"/>
  <c r="H9" i="2" s="1"/>
  <c r="C8" i="2"/>
  <c r="H8" i="2" s="1"/>
  <c r="C7" i="2"/>
  <c r="H7" i="2" s="1"/>
  <c r="C6" i="2"/>
  <c r="H6" i="2" s="1"/>
  <c r="C5" i="2"/>
  <c r="H5" i="2" s="1"/>
  <c r="C4" i="2"/>
  <c r="H4" i="2" s="1"/>
  <c r="C3" i="2"/>
  <c r="H3" i="2" s="1"/>
  <c r="H2" i="2"/>
</calcChain>
</file>

<file path=xl/sharedStrings.xml><?xml version="1.0" encoding="utf-8"?>
<sst xmlns="http://schemas.openxmlformats.org/spreadsheetml/2006/main" count="138" uniqueCount="54">
  <si>
    <t>Participant 2 ID</t>
  </si>
  <si>
    <t>Participant 1 ID:</t>
  </si>
  <si>
    <t>eSense Part 1 number:</t>
  </si>
  <si>
    <t>eSense Part 2 number:</t>
  </si>
  <si>
    <t xml:space="preserve">Experimenter: </t>
  </si>
  <si>
    <t xml:space="preserve">Date: </t>
  </si>
  <si>
    <t>Part. 1</t>
  </si>
  <si>
    <t>Part. 2</t>
  </si>
  <si>
    <t>verb</t>
  </si>
  <si>
    <t>Filename part. 1</t>
  </si>
  <si>
    <t>Filename part. 2</t>
  </si>
  <si>
    <t>Trial Number</t>
  </si>
  <si>
    <t xml:space="preserve">transitive verb pairs: </t>
  </si>
  <si>
    <t>banish</t>
  </si>
  <si>
    <t>attack</t>
  </si>
  <si>
    <t>displease</t>
  </si>
  <si>
    <t>caress</t>
  </si>
  <si>
    <t>Text part</t>
  </si>
  <si>
    <t>notes</t>
  </si>
  <si>
    <t>comfort</t>
  </si>
  <si>
    <t>motivate</t>
  </si>
  <si>
    <t>random num</t>
  </si>
  <si>
    <t>match</t>
  </si>
  <si>
    <t>complement</t>
  </si>
  <si>
    <t>&lt;-&gt;</t>
  </si>
  <si>
    <t xml:space="preserve">Test_1 </t>
  </si>
  <si>
    <t>Test_2</t>
  </si>
  <si>
    <t>Trial_1</t>
  </si>
  <si>
    <t>Trial_2</t>
  </si>
  <si>
    <t>Trial_3</t>
  </si>
  <si>
    <t>Trial_4</t>
  </si>
  <si>
    <t>Trial_5</t>
  </si>
  <si>
    <t>Trial_6</t>
  </si>
  <si>
    <t>Trial_7</t>
  </si>
  <si>
    <t>Trial_8</t>
  </si>
  <si>
    <t>Trial_9</t>
  </si>
  <si>
    <t>Trial_10</t>
  </si>
  <si>
    <t>Trial_11</t>
  </si>
  <si>
    <t>Trial_12</t>
  </si>
  <si>
    <t>Trial run?  (0 = test, 1=trial)</t>
  </si>
  <si>
    <t>Successful? (0 = no, 1 = yes)</t>
  </si>
  <si>
    <t>M</t>
  </si>
  <si>
    <t>W</t>
  </si>
  <si>
    <t>Sabrina</t>
  </si>
  <si>
    <t>NGUK111</t>
  </si>
  <si>
    <t>e0308</t>
  </si>
  <si>
    <t>SHBB011</t>
  </si>
  <si>
    <t>e0237</t>
  </si>
  <si>
    <t>mistake and repeated line</t>
  </si>
  <si>
    <t>verb_image</t>
  </si>
  <si>
    <t>pos_neg</t>
  </si>
  <si>
    <t>p</t>
  </si>
  <si>
    <t>n</t>
  </si>
  <si>
    <t>diplease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</si>
</sst>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0" fillId="2" borderId="1" xfId="0" applyFill="1" applyBorder="1"/>
    <xf numFmtId="0" fontId="4" fillId="0" borderId="3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14" fontId="4" fillId="3" borderId="3" xfId="0" applyNumberFormat="1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left"/>
    </xf>
    <xf numFmtId="0" fontId="0" fillId="0" borderId="1" xfId="0" applyFill="1" applyBorder="1"/>
    <xf numFmtId="0" fontId="0" fillId="2" borderId="0" xfId="0" applyFill="1"/>
    <xf numFmtId="0" fontId="1" fillId="0" borderId="0" xfId="0" applyFont="1" applyFill="1"/>
    <xf numFmtId="0" fontId="0" fillId="0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4" borderId="4" xfId="0" applyFill="1" applyBorder="1"/>
    <xf numFmtId="0" fontId="0" fillId="4" borderId="0" xfId="0" applyFill="1"/>
    <xf numFmtId="0" fontId="0" fillId="4" borderId="1" xfId="0" applyFill="1" applyBorder="1"/>
    <xf numFmtId="0" fontId="0" fillId="0" borderId="2" xfId="0" applyFill="1" applyBorder="1"/>
    <xf numFmtId="0" fontId="0" fillId="0" borderId="8" xfId="0" applyFill="1" applyBorder="1"/>
    <xf numFmtId="0" fontId="0" fillId="0" borderId="9" xfId="0" applyFill="1" applyBorder="1"/>
    <xf numFmtId="0" fontId="0" fillId="4" borderId="6" xfId="0" applyFill="1" applyBorder="1"/>
    <xf numFmtId="0" fontId="0" fillId="4" borderId="5" xfId="0" applyFill="1" applyBorder="1"/>
    <xf numFmtId="0" fontId="0" fillId="4" borderId="7" xfId="0" applyFill="1" applyBorder="1"/>
    <xf numFmtId="0" fontId="0" fillId="0" borderId="16" xfId="0" applyFill="1" applyBorder="1"/>
    <xf numFmtId="0" fontId="0" fillId="0" borderId="17" xfId="0" applyFill="1" applyBorder="1"/>
    <xf numFmtId="0" fontId="0" fillId="4" borderId="8" xfId="0" applyFill="1" applyBorder="1"/>
    <xf numFmtId="0" fontId="0" fillId="4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4" borderId="18" xfId="0" applyFill="1" applyBorder="1"/>
    <xf numFmtId="0" fontId="0" fillId="4" borderId="19" xfId="0" applyFill="1" applyBorder="1"/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5353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12</xdr:row>
          <xdr:rowOff>22860</xdr:rowOff>
        </xdr:from>
        <xdr:to>
          <xdr:col>1</xdr:col>
          <xdr:colOff>1531620</xdr:colOff>
          <xdr:row>14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0A00-3A76-4E1C-81DE-00668785C51E}">
  <sheetPr codeName="Tabelle1"/>
  <dimension ref="A3:G27"/>
  <sheetViews>
    <sheetView workbookViewId="0">
      <selection activeCell="C12" sqref="C12"/>
    </sheetView>
  </sheetViews>
  <sheetFormatPr defaultColWidth="11.5546875" defaultRowHeight="14.4" x14ac:dyDescent="0.3"/>
  <cols>
    <col min="2" max="2" width="23.109375" customWidth="1"/>
    <col min="3" max="3" width="27.6640625" customWidth="1"/>
    <col min="5" max="5" width="20.6640625" customWidth="1"/>
  </cols>
  <sheetData>
    <row r="3" spans="2:3" x14ac:dyDescent="0.3">
      <c r="B3" s="1" t="s">
        <v>4</v>
      </c>
      <c r="C3" s="4" t="s">
        <v>43</v>
      </c>
    </row>
    <row r="4" spans="2:3" x14ac:dyDescent="0.3">
      <c r="B4" s="1" t="s">
        <v>5</v>
      </c>
      <c r="C4" s="5">
        <v>44029</v>
      </c>
    </row>
    <row r="5" spans="2:3" x14ac:dyDescent="0.3">
      <c r="B5" s="1"/>
      <c r="C5" s="3"/>
    </row>
    <row r="6" spans="2:3" x14ac:dyDescent="0.3">
      <c r="B6" s="1" t="s">
        <v>1</v>
      </c>
      <c r="C6" s="6" t="s">
        <v>44</v>
      </c>
    </row>
    <row r="7" spans="2:3" x14ac:dyDescent="0.3">
      <c r="B7" s="1" t="s">
        <v>2</v>
      </c>
      <c r="C7" s="6" t="s">
        <v>45</v>
      </c>
    </row>
    <row r="8" spans="2:3" x14ac:dyDescent="0.3">
      <c r="B8" s="1"/>
      <c r="C8" s="3"/>
    </row>
    <row r="9" spans="2:3" x14ac:dyDescent="0.3">
      <c r="B9" s="1"/>
      <c r="C9" s="3"/>
    </row>
    <row r="10" spans="2:3" x14ac:dyDescent="0.3">
      <c r="B10" s="1" t="s">
        <v>0</v>
      </c>
      <c r="C10" s="6" t="s">
        <v>46</v>
      </c>
    </row>
    <row r="11" spans="2:3" x14ac:dyDescent="0.3">
      <c r="B11" s="1" t="s">
        <v>3</v>
      </c>
      <c r="C11" s="7" t="s">
        <v>47</v>
      </c>
    </row>
    <row r="16" spans="2:3" x14ac:dyDescent="0.3">
      <c r="B16" t="s">
        <v>12</v>
      </c>
    </row>
    <row r="18" spans="1:7" x14ac:dyDescent="0.3">
      <c r="A18">
        <v>1</v>
      </c>
      <c r="B18" t="s">
        <v>20</v>
      </c>
      <c r="C18" t="s">
        <v>24</v>
      </c>
      <c r="D18" t="s">
        <v>19</v>
      </c>
    </row>
    <row r="19" spans="1:7" x14ac:dyDescent="0.3">
      <c r="A19">
        <v>2</v>
      </c>
      <c r="B19" t="s">
        <v>20</v>
      </c>
      <c r="C19" t="s">
        <v>24</v>
      </c>
      <c r="D19" t="s">
        <v>15</v>
      </c>
    </row>
    <row r="20" spans="1:7" x14ac:dyDescent="0.3">
      <c r="A20">
        <v>3</v>
      </c>
      <c r="B20" t="s">
        <v>20</v>
      </c>
      <c r="C20" t="s">
        <v>24</v>
      </c>
      <c r="D20" t="s">
        <v>14</v>
      </c>
    </row>
    <row r="21" spans="1:7" x14ac:dyDescent="0.3">
      <c r="A21">
        <v>4</v>
      </c>
      <c r="B21" t="s">
        <v>19</v>
      </c>
      <c r="C21" t="s">
        <v>24</v>
      </c>
      <c r="D21" t="s">
        <v>15</v>
      </c>
    </row>
    <row r="22" spans="1:7" x14ac:dyDescent="0.3">
      <c r="A22">
        <v>5</v>
      </c>
      <c r="B22" t="s">
        <v>19</v>
      </c>
      <c r="C22" t="s">
        <v>24</v>
      </c>
      <c r="D22" t="s">
        <v>14</v>
      </c>
    </row>
    <row r="23" spans="1:7" x14ac:dyDescent="0.3">
      <c r="A23">
        <v>6</v>
      </c>
      <c r="B23" t="s">
        <v>15</v>
      </c>
      <c r="C23" t="s">
        <v>24</v>
      </c>
      <c r="D23" t="s">
        <v>14</v>
      </c>
    </row>
    <row r="25" spans="1:7" x14ac:dyDescent="0.3">
      <c r="A25" t="s">
        <v>21</v>
      </c>
      <c r="B25">
        <v>2</v>
      </c>
      <c r="C25">
        <v>4</v>
      </c>
      <c r="D25">
        <v>6</v>
      </c>
      <c r="E25">
        <v>3</v>
      </c>
      <c r="F25">
        <v>1</v>
      </c>
      <c r="G25">
        <v>5</v>
      </c>
    </row>
    <row r="26" spans="1:7" x14ac:dyDescent="0.3">
      <c r="A26" t="s">
        <v>22</v>
      </c>
      <c r="B26" t="str">
        <f>_xlfn.XLOOKUP(B$25,$A$18:$A$23,$B$18:$B$23)</f>
        <v>motivate</v>
      </c>
      <c r="C26" t="str">
        <f t="shared" ref="C26:G26" si="0">_xlfn.XLOOKUP(C$25,$A$18:$A$23,$B$18:$B$23)</f>
        <v>comfort</v>
      </c>
      <c r="D26" t="str">
        <f t="shared" si="0"/>
        <v>displease</v>
      </c>
      <c r="E26" t="str">
        <f t="shared" si="0"/>
        <v>motivate</v>
      </c>
      <c r="F26" t="str">
        <f t="shared" si="0"/>
        <v>motivate</v>
      </c>
      <c r="G26" t="str">
        <f t="shared" si="0"/>
        <v>comfort</v>
      </c>
    </row>
    <row r="27" spans="1:7" x14ac:dyDescent="0.3">
      <c r="A27" t="s">
        <v>23</v>
      </c>
      <c r="B27" t="str">
        <f>_xlfn.XLOOKUP(B$25,$A$18:$A$23,$D$18:$D$23)</f>
        <v>displease</v>
      </c>
      <c r="C27" t="str">
        <f>_xlfn.XLOOKUP(C$25,$A$18:$A$23,$D$18:$D$23)</f>
        <v>displease</v>
      </c>
      <c r="D27" t="str">
        <f t="shared" ref="D27:G27" si="1">_xlfn.XLOOKUP(D$25,$A$18:$A$23,$D$18:$D$23)</f>
        <v>attack</v>
      </c>
      <c r="E27" t="str">
        <f t="shared" si="1"/>
        <v>attack</v>
      </c>
      <c r="F27" t="str">
        <f t="shared" si="1"/>
        <v>comfort</v>
      </c>
      <c r="G27" t="str">
        <f t="shared" si="1"/>
        <v>attack</v>
      </c>
    </row>
  </sheetData>
  <conditionalFormatting sqref="C6:C7 C10:C11 C3:C4">
    <cfRule type="cellIs" dxfId="0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Button">
                <anchor moveWithCells="1" sizeWithCells="1">
                  <from>
                    <xdr:col>1</xdr:col>
                    <xdr:colOff>60960</xdr:colOff>
                    <xdr:row>12</xdr:row>
                    <xdr:rowOff>22860</xdr:rowOff>
                  </from>
                  <to>
                    <xdr:col>1</xdr:col>
                    <xdr:colOff>1531620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8F1F2-C50A-477B-B55D-922AE8C4366F}">
  <sheetPr codeName="Tabelle2"/>
  <dimension ref="A1:AR15"/>
  <sheetViews>
    <sheetView tabSelected="1" workbookViewId="0">
      <selection activeCell="L16" sqref="L16"/>
    </sheetView>
  </sheetViews>
  <sheetFormatPr defaultColWidth="11.5546875" defaultRowHeight="20.25" customHeight="1" x14ac:dyDescent="0.3"/>
  <cols>
    <col min="1" max="1" width="13" customWidth="1"/>
    <col min="2" max="2" width="15.44140625" customWidth="1"/>
    <col min="3" max="3" width="4.44140625" customWidth="1"/>
    <col min="4" max="4" width="3.6640625" customWidth="1"/>
    <col min="5" max="5" width="11.5546875" customWidth="1"/>
    <col min="6" max="6" width="3.6640625" customWidth="1"/>
    <col min="8" max="8" width="26.33203125" customWidth="1"/>
    <col min="9" max="9" width="4.21875" customWidth="1"/>
    <col min="10" max="10" width="3.5546875" customWidth="1"/>
    <col min="11" max="11" width="11.5546875" customWidth="1"/>
    <col min="12" max="12" width="3.6640625" customWidth="1"/>
    <col min="14" max="14" width="23.44140625" customWidth="1"/>
    <col min="15" max="15" width="10.44140625" customWidth="1"/>
    <col min="16" max="16" width="59.88671875" customWidth="1"/>
    <col min="17" max="44" width="11.44140625" style="11"/>
  </cols>
  <sheetData>
    <row r="1" spans="1:44" s="1" customFormat="1" ht="29.25" customHeight="1" thickBot="1" x14ac:dyDescent="0.35">
      <c r="A1" s="17" t="s">
        <v>40</v>
      </c>
      <c r="B1" s="18" t="s">
        <v>11</v>
      </c>
      <c r="C1" s="18" t="s">
        <v>6</v>
      </c>
      <c r="D1" s="18" t="s">
        <v>17</v>
      </c>
      <c r="E1" s="18" t="s">
        <v>49</v>
      </c>
      <c r="F1" s="18" t="s">
        <v>50</v>
      </c>
      <c r="G1" s="18" t="s">
        <v>8</v>
      </c>
      <c r="H1" s="18" t="s">
        <v>9</v>
      </c>
      <c r="I1" s="18" t="s">
        <v>7</v>
      </c>
      <c r="J1" s="18" t="s">
        <v>17</v>
      </c>
      <c r="K1" s="18" t="s">
        <v>49</v>
      </c>
      <c r="L1" s="18" t="s">
        <v>50</v>
      </c>
      <c r="M1" s="18" t="s">
        <v>8</v>
      </c>
      <c r="N1" s="18" t="s">
        <v>10</v>
      </c>
      <c r="O1" s="18" t="s">
        <v>39</v>
      </c>
      <c r="P1" s="19" t="s">
        <v>18</v>
      </c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</row>
    <row r="2" spans="1:44" s="21" customFormat="1" ht="20.25" customHeight="1" x14ac:dyDescent="0.3">
      <c r="A2" s="27">
        <v>1</v>
      </c>
      <c r="B2" s="26" t="s">
        <v>25</v>
      </c>
      <c r="C2" s="26" t="str">
        <f>'general info'!C6</f>
        <v>NGUK111</v>
      </c>
      <c r="D2" s="26" t="s">
        <v>41</v>
      </c>
      <c r="E2" s="26" t="s">
        <v>16</v>
      </c>
      <c r="F2" s="26" t="s">
        <v>51</v>
      </c>
      <c r="G2" s="26" t="s">
        <v>16</v>
      </c>
      <c r="H2" s="26" t="str">
        <f>CONCATENATE(C2, "_", B2, "_",D2, " ", G2, "_", 'general info'!$C$7, ".xls" )</f>
        <v>NGUK111_Test_1 _M caress_e0308.xls</v>
      </c>
      <c r="I2" s="26" t="str">
        <f>'general info'!C10</f>
        <v>SHBB011</v>
      </c>
      <c r="J2" s="26" t="str">
        <f>IF(D2="M","W",IF(D2="W","M",""))</f>
        <v>W</v>
      </c>
      <c r="K2" s="26" t="s">
        <v>13</v>
      </c>
      <c r="L2" s="26" t="s">
        <v>52</v>
      </c>
      <c r="M2" s="26" t="s">
        <v>13</v>
      </c>
      <c r="N2" s="26" t="str">
        <f>CONCATENATE(I2, "_", B2, "_",J2, " ",M2, "_", 'general info'!$C$7, ".xls" )</f>
        <v>SHBB011_Test_1 _W banish_e0308.xls</v>
      </c>
      <c r="O2" s="26">
        <v>0</v>
      </c>
      <c r="P2" s="28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</row>
    <row r="3" spans="1:44" s="11" customFormat="1" ht="20.25" customHeight="1" thickBot="1" x14ac:dyDescent="0.35">
      <c r="A3" s="29">
        <v>1</v>
      </c>
      <c r="B3" s="23" t="s">
        <v>26</v>
      </c>
      <c r="C3" s="23" t="str">
        <f>'general info'!C6</f>
        <v>NGUK111</v>
      </c>
      <c r="D3" s="23" t="s">
        <v>42</v>
      </c>
      <c r="E3" s="23" t="s">
        <v>13</v>
      </c>
      <c r="F3" s="23" t="s">
        <v>52</v>
      </c>
      <c r="G3" s="23" t="s">
        <v>13</v>
      </c>
      <c r="H3" s="23" t="str">
        <f>CONCATENATE(C3, "_", B3, "_",D3, " ", G3, "_", 'general info'!$C$7, ".xls" )</f>
        <v>NGUK111_Test_2_W banish_e0308.xls</v>
      </c>
      <c r="I3" s="23" t="str">
        <f>'general info'!C10</f>
        <v>SHBB011</v>
      </c>
      <c r="J3" s="23" t="str">
        <f t="shared" ref="J3:J15" si="0">IF(D3="M","W",IF(D3="W","M",""))</f>
        <v>M</v>
      </c>
      <c r="K3" s="23" t="s">
        <v>16</v>
      </c>
      <c r="L3" s="23" t="s">
        <v>51</v>
      </c>
      <c r="M3" s="23" t="s">
        <v>16</v>
      </c>
      <c r="N3" s="23" t="str">
        <f>CONCATENATE(I3, "_", B3, "_",J3, " ", M3, "_", 'general info'!$C$7, ".xls" )</f>
        <v>SHBB011_Test_2_M caress_e0308.xls</v>
      </c>
      <c r="O3" s="23">
        <v>0</v>
      </c>
      <c r="P3" s="30"/>
    </row>
    <row r="4" spans="1:44" s="9" customFormat="1" ht="20.25" customHeight="1" x14ac:dyDescent="0.3">
      <c r="A4" s="12">
        <v>1</v>
      </c>
      <c r="B4" s="13" t="s">
        <v>27</v>
      </c>
      <c r="C4" s="13" t="str">
        <f>'general info'!C6</f>
        <v>NGUK111</v>
      </c>
      <c r="D4" s="13" t="s">
        <v>41</v>
      </c>
      <c r="E4" s="13" t="s">
        <v>20</v>
      </c>
      <c r="F4" s="13" t="s">
        <v>51</v>
      </c>
      <c r="G4" s="13" t="str">
        <f>'general info'!B$26</f>
        <v>motivate</v>
      </c>
      <c r="H4" s="13" t="str">
        <f>CONCATENATE(C4, "_", B4, "_",D4, " ", G4, "_", 'general info'!$C$7, ".xls" )</f>
        <v>NGUK111_Trial_1_M motivate_e0308.xls</v>
      </c>
      <c r="I4" s="13" t="str">
        <f>'general info'!C10</f>
        <v>SHBB011</v>
      </c>
      <c r="J4" s="13" t="str">
        <f t="shared" si="0"/>
        <v>W</v>
      </c>
      <c r="K4" s="13" t="s">
        <v>15</v>
      </c>
      <c r="L4" s="13" t="s">
        <v>52</v>
      </c>
      <c r="M4" s="13" t="str">
        <f>'general info'!B$27</f>
        <v>displease</v>
      </c>
      <c r="N4" s="13" t="str">
        <f>CONCATENATE(I4, "_", B4, "_",J4, " ", M4, "_", 'general info'!$C$7, ".xls" )</f>
        <v>SHBB011_Trial_1_W displease_e0308.xls</v>
      </c>
      <c r="O4" s="13">
        <v>1</v>
      </c>
      <c r="P4" s="14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</row>
    <row r="5" spans="1:44" s="11" customFormat="1" ht="20.25" customHeight="1" x14ac:dyDescent="0.3">
      <c r="A5" s="24">
        <v>1</v>
      </c>
      <c r="B5" s="8" t="s">
        <v>28</v>
      </c>
      <c r="C5" s="8" t="str">
        <f>'general info'!C6</f>
        <v>NGUK111</v>
      </c>
      <c r="D5" s="8" t="s">
        <v>41</v>
      </c>
      <c r="E5" s="8" t="s">
        <v>19</v>
      </c>
      <c r="F5" s="8" t="s">
        <v>51</v>
      </c>
      <c r="G5" s="8" t="str">
        <f>'general info'!C$26</f>
        <v>comfort</v>
      </c>
      <c r="H5" s="8" t="str">
        <f>CONCATENATE(C5, "_", B5, "_",D5, " ", G5, "_", 'general info'!$C$7, ".xls" )</f>
        <v>NGUK111_Trial_2_M comfort_e0308.xls</v>
      </c>
      <c r="I5" s="8" t="str">
        <f>'general info'!C10</f>
        <v>SHBB011</v>
      </c>
      <c r="J5" s="8" t="str">
        <f t="shared" si="0"/>
        <v>W</v>
      </c>
      <c r="K5" s="8" t="s">
        <v>15</v>
      </c>
      <c r="L5" s="8" t="s">
        <v>52</v>
      </c>
      <c r="M5" s="8" t="str">
        <f>'general info'!C$27</f>
        <v>displease</v>
      </c>
      <c r="N5" s="8" t="str">
        <f>CONCATENATE(I5, "_", B5, "_",J5, " ", M5, "_", 'general info'!$C$7, ".xls" )</f>
        <v>SHBB011_Trial_2_W displease_e0308.xls</v>
      </c>
      <c r="O5" s="8">
        <v>1</v>
      </c>
      <c r="P5" s="25"/>
    </row>
    <row r="6" spans="1:44" s="9" customFormat="1" ht="20.25" customHeight="1" x14ac:dyDescent="0.3">
      <c r="A6" s="15">
        <v>1</v>
      </c>
      <c r="B6" s="2" t="s">
        <v>29</v>
      </c>
      <c r="C6" s="2" t="str">
        <f>'general info'!C6</f>
        <v>NGUK111</v>
      </c>
      <c r="D6" s="2" t="s">
        <v>41</v>
      </c>
      <c r="E6" s="2" t="s">
        <v>15</v>
      </c>
      <c r="F6" s="2" t="s">
        <v>52</v>
      </c>
      <c r="G6" s="2" t="str">
        <f>'general info'!D$26</f>
        <v>displease</v>
      </c>
      <c r="H6" s="2" t="str">
        <f>CONCATENATE(C6, "_", B6, "_",D6, " ", G6, "_", 'general info'!$C$7, ".xls" )</f>
        <v>NGUK111_Trial_3_M displease_e0308.xls</v>
      </c>
      <c r="I6" s="2" t="str">
        <f>'general info'!C10</f>
        <v>SHBB011</v>
      </c>
      <c r="J6" s="2" t="str">
        <f t="shared" si="0"/>
        <v>W</v>
      </c>
      <c r="K6" s="2" t="s">
        <v>14</v>
      </c>
      <c r="L6" s="2" t="s">
        <v>52</v>
      </c>
      <c r="M6" s="2" t="str">
        <f>'general info'!D$27</f>
        <v>attack</v>
      </c>
      <c r="N6" s="2" t="str">
        <f>CONCATENATE(I6, "_", B6, "_",J6, " ", M6, "_", 'general info'!$C$7, ".xls" )</f>
        <v>SHBB011_Trial_3_W attack_e0308.xls</v>
      </c>
      <c r="O6" s="2">
        <v>1</v>
      </c>
      <c r="P6" s="16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</row>
    <row r="7" spans="1:44" s="11" customFormat="1" ht="20.25" customHeight="1" x14ac:dyDescent="0.3">
      <c r="A7" s="24">
        <v>1</v>
      </c>
      <c r="B7" s="8" t="s">
        <v>30</v>
      </c>
      <c r="C7" s="8" t="str">
        <f>'general info'!C6</f>
        <v>NGUK111</v>
      </c>
      <c r="D7" s="8" t="s">
        <v>41</v>
      </c>
      <c r="E7" s="8" t="s">
        <v>20</v>
      </c>
      <c r="F7" s="8" t="s">
        <v>51</v>
      </c>
      <c r="G7" s="8" t="str">
        <f>'general info'!E$26</f>
        <v>motivate</v>
      </c>
      <c r="H7" s="8" t="str">
        <f>CONCATENATE(C7, "_", B7, "_",D7, " ", G7, "_", 'general info'!$C$7, ".xls" )</f>
        <v>NGUK111_Trial_4_M motivate_e0308.xls</v>
      </c>
      <c r="I7" s="8" t="str">
        <f>'general info'!C10</f>
        <v>SHBB011</v>
      </c>
      <c r="J7" s="8" t="str">
        <f t="shared" si="0"/>
        <v>W</v>
      </c>
      <c r="K7" s="8" t="s">
        <v>14</v>
      </c>
      <c r="L7" s="8" t="s">
        <v>52</v>
      </c>
      <c r="M7" s="8" t="str">
        <f>'general info'!E$27</f>
        <v>attack</v>
      </c>
      <c r="N7" s="8" t="str">
        <f>CONCATENATE(I7, "_", B7, "_",J7, " ", M7, "_", 'general info'!$C$7, ".xls" )</f>
        <v>SHBB011_Trial_4_W attack_e0308.xls</v>
      </c>
      <c r="O7" s="8">
        <v>1</v>
      </c>
      <c r="P7" s="25"/>
    </row>
    <row r="8" spans="1:44" s="9" customFormat="1" ht="20.25" customHeight="1" x14ac:dyDescent="0.3">
      <c r="A8" s="15">
        <v>1</v>
      </c>
      <c r="B8" s="2" t="s">
        <v>31</v>
      </c>
      <c r="C8" s="2" t="str">
        <f>'general info'!C6</f>
        <v>NGUK111</v>
      </c>
      <c r="D8" s="2" t="s">
        <v>41</v>
      </c>
      <c r="E8" s="2" t="s">
        <v>20</v>
      </c>
      <c r="F8" s="2" t="s">
        <v>51</v>
      </c>
      <c r="G8" s="2" t="str">
        <f>'general info'!F$26</f>
        <v>motivate</v>
      </c>
      <c r="H8" s="2" t="str">
        <f>CONCATENATE(C8, "_", B8, "_",D8, " ", G8, "_", 'general info'!$C$7, ".xls" )</f>
        <v>NGUK111_Trial_5_M motivate_e0308.xls</v>
      </c>
      <c r="I8" s="2" t="str">
        <f>'general info'!C10</f>
        <v>SHBB011</v>
      </c>
      <c r="J8" s="2" t="str">
        <f t="shared" si="0"/>
        <v>W</v>
      </c>
      <c r="K8" s="2" t="s">
        <v>19</v>
      </c>
      <c r="L8" s="2" t="s">
        <v>51</v>
      </c>
      <c r="M8" s="2" t="str">
        <f>'general info'!F$27</f>
        <v>comfort</v>
      </c>
      <c r="N8" s="2" t="str">
        <f>CONCATENATE(I8, "_", B8, "_",J8, " ", M8, "_", 'general info'!$C$7, ".xls" )</f>
        <v>SHBB011_Trial_5_W comfort_e0308.xls</v>
      </c>
      <c r="O8" s="2">
        <v>1</v>
      </c>
      <c r="P8" s="16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</row>
    <row r="9" spans="1:44" s="11" customFormat="1" ht="20.25" customHeight="1" thickBot="1" x14ac:dyDescent="0.35">
      <c r="A9" s="33">
        <v>1</v>
      </c>
      <c r="B9" s="34" t="s">
        <v>32</v>
      </c>
      <c r="C9" s="34" t="str">
        <f>'general info'!C6</f>
        <v>NGUK111</v>
      </c>
      <c r="D9" s="34" t="s">
        <v>41</v>
      </c>
      <c r="E9" s="34" t="s">
        <v>19</v>
      </c>
      <c r="F9" s="34" t="s">
        <v>51</v>
      </c>
      <c r="G9" s="34" t="str">
        <f>'general info'!G$26</f>
        <v>comfort</v>
      </c>
      <c r="H9" s="34" t="str">
        <f>CONCATENATE(C9, "_", B9, "_",D9, " ", G9, "_", 'general info'!$C$7, ".xls" )</f>
        <v>NGUK111_Trial_6_M comfort_e0308.xls</v>
      </c>
      <c r="I9" s="34" t="str">
        <f>'general info'!C10</f>
        <v>SHBB011</v>
      </c>
      <c r="J9" s="34" t="str">
        <f t="shared" si="0"/>
        <v>W</v>
      </c>
      <c r="K9" s="34" t="s">
        <v>14</v>
      </c>
      <c r="L9" s="34" t="s">
        <v>52</v>
      </c>
      <c r="M9" s="34" t="str">
        <f>'general info'!G$27</f>
        <v>attack</v>
      </c>
      <c r="N9" s="34" t="str">
        <f>CONCATENATE(I9, "_", B9, "_",J9, " ", M9, "_", 'general info'!$C$7, ".xls" )</f>
        <v>SHBB011_Trial_6_W attack_e0308.xls</v>
      </c>
      <c r="O9" s="34">
        <v>1</v>
      </c>
      <c r="P9" s="35"/>
    </row>
    <row r="10" spans="1:44" s="21" customFormat="1" ht="20.25" customHeight="1" x14ac:dyDescent="0.3">
      <c r="A10" s="36">
        <v>1</v>
      </c>
      <c r="B10" s="20" t="s">
        <v>33</v>
      </c>
      <c r="C10" s="20" t="str">
        <f>'general info'!C6</f>
        <v>NGUK111</v>
      </c>
      <c r="D10" s="20" t="s">
        <v>42</v>
      </c>
      <c r="E10" s="20" t="s">
        <v>15</v>
      </c>
      <c r="F10" s="20" t="s">
        <v>52</v>
      </c>
      <c r="G10" s="20" t="str">
        <f>'general info'!B$27</f>
        <v>displease</v>
      </c>
      <c r="H10" s="20" t="str">
        <f>CONCATENATE(C10, "_", B10, "_",D10, " ", G10, "_", 'general info'!$C$7, ".xls" )</f>
        <v>NGUK111_Trial_7_W displease_e0308.xls</v>
      </c>
      <c r="I10" s="20" t="str">
        <f>'general info'!C10</f>
        <v>SHBB011</v>
      </c>
      <c r="J10" s="20" t="str">
        <f t="shared" si="0"/>
        <v>M</v>
      </c>
      <c r="K10" s="20" t="s">
        <v>20</v>
      </c>
      <c r="L10" s="20" t="s">
        <v>51</v>
      </c>
      <c r="M10" s="20" t="str">
        <f>'general info'!B$26</f>
        <v>motivate</v>
      </c>
      <c r="N10" s="20" t="str">
        <f>CONCATENATE(I10, "_", B10, "_",J10, " ", M10, "_", 'general info'!$C$7, ".xls" )</f>
        <v>SHBB011_Trial_7_M motivate_e0308.xls</v>
      </c>
      <c r="O10" s="20">
        <v>1</v>
      </c>
      <c r="P10" s="37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</row>
    <row r="11" spans="1:44" s="11" customFormat="1" ht="20.25" customHeight="1" x14ac:dyDescent="0.3">
      <c r="A11" s="24">
        <v>1</v>
      </c>
      <c r="B11" s="8" t="s">
        <v>34</v>
      </c>
      <c r="C11" s="8" t="str">
        <f>'general info'!C6</f>
        <v>NGUK111</v>
      </c>
      <c r="D11" s="8" t="s">
        <v>42</v>
      </c>
      <c r="E11" s="8" t="s">
        <v>15</v>
      </c>
      <c r="F11" s="8" t="s">
        <v>52</v>
      </c>
      <c r="G11" s="8" t="str">
        <f>'general info'!C$27</f>
        <v>displease</v>
      </c>
      <c r="H11" s="8" t="str">
        <f>CONCATENATE(C11, "_", B11, "_",D11, " ", G11, "_", 'general info'!$C$7, ".xls" )</f>
        <v>NGUK111_Trial_8_W displease_e0308.xls</v>
      </c>
      <c r="I11" s="8" t="str">
        <f>'general info'!C10</f>
        <v>SHBB011</v>
      </c>
      <c r="J11" s="8" t="str">
        <f t="shared" si="0"/>
        <v>M</v>
      </c>
      <c r="K11" s="8" t="s">
        <v>19</v>
      </c>
      <c r="L11" s="8" t="s">
        <v>51</v>
      </c>
      <c r="M11" s="8" t="str">
        <f>'general info'!C$26</f>
        <v>comfort</v>
      </c>
      <c r="N11" s="8" t="str">
        <f>CONCATENATE(I11, "_", B11, "_",J11, " ", M11, "_", 'general info'!$C$7, ".xls" )</f>
        <v>SHBB011_Trial_8_M comfort_e0308.xls</v>
      </c>
      <c r="O11" s="8">
        <v>1</v>
      </c>
      <c r="P11" s="25"/>
    </row>
    <row r="12" spans="1:44" s="21" customFormat="1" ht="20.25" customHeight="1" x14ac:dyDescent="0.3">
      <c r="A12" s="31">
        <v>1</v>
      </c>
      <c r="B12" s="22" t="s">
        <v>35</v>
      </c>
      <c r="C12" s="22">
        <f>'general info'!C8</f>
        <v>0</v>
      </c>
      <c r="D12" s="22" t="s">
        <v>42</v>
      </c>
      <c r="E12" s="22" t="s">
        <v>14</v>
      </c>
      <c r="F12" s="22" t="s">
        <v>52</v>
      </c>
      <c r="G12" s="22" t="str">
        <f>'general info'!D$27</f>
        <v>attack</v>
      </c>
      <c r="H12" s="22" t="str">
        <f>CONCATENATE(C12, "_", B12, "_",D12, " ", G12, "_", 'general info'!$C$7, ".xls" )</f>
        <v>0_Trial_9_W attack_e0308.xls</v>
      </c>
      <c r="I12" s="22">
        <f>'general info'!C12</f>
        <v>0</v>
      </c>
      <c r="J12" s="22" t="str">
        <f t="shared" si="0"/>
        <v>M</v>
      </c>
      <c r="K12" s="22" t="s">
        <v>53</v>
      </c>
      <c r="L12" s="22" t="s">
        <v>52</v>
      </c>
      <c r="M12" s="22" t="str">
        <f>'general info'!D$26</f>
        <v>displease</v>
      </c>
      <c r="N12" s="22" t="str">
        <f>CONCATENATE(I12, "_", B12, "_",J12, " ", M12, "_", 'general info'!$C$7, ".xls" )</f>
        <v>0_Trial_9_M displease_e0308.xls</v>
      </c>
      <c r="O12" s="22">
        <v>1</v>
      </c>
      <c r="P12" s="32" t="s">
        <v>48</v>
      </c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</row>
    <row r="13" spans="1:44" s="11" customFormat="1" ht="20.25" customHeight="1" x14ac:dyDescent="0.3">
      <c r="A13" s="24">
        <v>1</v>
      </c>
      <c r="B13" s="8" t="s">
        <v>36</v>
      </c>
      <c r="C13" s="8">
        <f>'general info'!C8</f>
        <v>0</v>
      </c>
      <c r="D13" s="8" t="s">
        <v>42</v>
      </c>
      <c r="E13" s="8" t="s">
        <v>14</v>
      </c>
      <c r="F13" s="8" t="s">
        <v>52</v>
      </c>
      <c r="G13" s="8" t="str">
        <f>'general info'!E$27</f>
        <v>attack</v>
      </c>
      <c r="H13" s="8" t="str">
        <f>CONCATENATE(C13, "_", B13, "_",D13, " ", G13, "_", 'general info'!$C$7, ".xls" )</f>
        <v>0_Trial_10_W attack_e0308.xls</v>
      </c>
      <c r="I13" s="8">
        <f>'general info'!C12</f>
        <v>0</v>
      </c>
      <c r="J13" s="8" t="str">
        <f t="shared" si="0"/>
        <v>M</v>
      </c>
      <c r="K13" s="8" t="s">
        <v>20</v>
      </c>
      <c r="L13" s="8" t="s">
        <v>51</v>
      </c>
      <c r="M13" s="8" t="str">
        <f>'general info'!E$26</f>
        <v>motivate</v>
      </c>
      <c r="N13" s="8" t="str">
        <f>CONCATENATE(I13, "_", B13, "_",J13, " ", M13, "_", 'general info'!$C$7, ".xls" )</f>
        <v>0_Trial_10_M motivate_e0308.xls</v>
      </c>
      <c r="O13" s="8">
        <v>1</v>
      </c>
      <c r="P13" s="25"/>
    </row>
    <row r="14" spans="1:44" s="21" customFormat="1" ht="20.25" customHeight="1" x14ac:dyDescent="0.3">
      <c r="A14" s="31">
        <v>1</v>
      </c>
      <c r="B14" s="22" t="s">
        <v>37</v>
      </c>
      <c r="C14" s="22" t="str">
        <f>'general info'!C10</f>
        <v>SHBB011</v>
      </c>
      <c r="D14" s="22" t="s">
        <v>42</v>
      </c>
      <c r="E14" s="22" t="s">
        <v>19</v>
      </c>
      <c r="F14" s="22" t="s">
        <v>51</v>
      </c>
      <c r="G14" s="22" t="str">
        <f>'general info'!F$27</f>
        <v>comfort</v>
      </c>
      <c r="H14" s="22" t="str">
        <f>CONCATENATE(C14, "_", B14, "_",D14, " ", G14, "_", 'general info'!$C$7, ".xls" )</f>
        <v>SHBB011_Trial_11_W comfort_e0308.xls</v>
      </c>
      <c r="I14" s="22">
        <f>'general info'!C14</f>
        <v>0</v>
      </c>
      <c r="J14" s="22" t="str">
        <f t="shared" si="0"/>
        <v>M</v>
      </c>
      <c r="K14" s="22" t="s">
        <v>20</v>
      </c>
      <c r="L14" s="22" t="s">
        <v>51</v>
      </c>
      <c r="M14" s="22" t="str">
        <f>'general info'!F$26</f>
        <v>motivate</v>
      </c>
      <c r="N14" s="22" t="str">
        <f>CONCATENATE(I14, "_", B14, "_",J14, " ", M14, "_", 'general info'!$C$7, ".xls" )</f>
        <v>0_Trial_11_M motivate_e0308.xls</v>
      </c>
      <c r="O14" s="22">
        <v>1</v>
      </c>
      <c r="P14" s="32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</row>
    <row r="15" spans="1:44" s="11" customFormat="1" ht="20.25" customHeight="1" thickBot="1" x14ac:dyDescent="0.35">
      <c r="A15" s="33">
        <v>1</v>
      </c>
      <c r="B15" s="34" t="s">
        <v>38</v>
      </c>
      <c r="C15" s="34" t="str">
        <f>'general info'!C10</f>
        <v>SHBB011</v>
      </c>
      <c r="D15" s="34" t="s">
        <v>42</v>
      </c>
      <c r="E15" s="34" t="s">
        <v>14</v>
      </c>
      <c r="F15" s="34" t="s">
        <v>52</v>
      </c>
      <c r="G15" s="34" t="str">
        <f>'general info'!G$27</f>
        <v>attack</v>
      </c>
      <c r="H15" s="34" t="str">
        <f>CONCATENATE(C15, "_", B15, "_",D15, " ", G15, "_", 'general info'!$C$7, ".xls" )</f>
        <v>SHBB011_Trial_12_W attack_e0308.xls</v>
      </c>
      <c r="I15" s="34">
        <f>'general info'!C14</f>
        <v>0</v>
      </c>
      <c r="J15" s="34" t="str">
        <f t="shared" si="0"/>
        <v>M</v>
      </c>
      <c r="K15" s="34" t="s">
        <v>19</v>
      </c>
      <c r="L15" s="34" t="s">
        <v>51</v>
      </c>
      <c r="M15" s="34" t="str">
        <f>'general info'!G$26</f>
        <v>comfort</v>
      </c>
      <c r="N15" s="34" t="str">
        <f>CONCATENATE(I15, "_", B15, "_",J15, " ", M15, "_", 'general info'!$C$7, ".xls" )</f>
        <v>0_Trial_12_M comfort_e0308.xls</v>
      </c>
      <c r="O15" s="34">
        <v>1</v>
      </c>
      <c r="P15" s="35"/>
    </row>
  </sheetData>
  <phoneticPr fontId="2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 info</vt:lpstr>
      <vt:lpstr>recording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Sabrina</dc:creator>
  <cp:lastModifiedBy>Sabrina</cp:lastModifiedBy>
  <dcterms:created xsi:type="dcterms:W3CDTF">2020-06-15T09:53:56Z</dcterms:created>
  <dcterms:modified xsi:type="dcterms:W3CDTF">2020-07-30T13:10:13Z</dcterms:modified>
</cp:coreProperties>
</file>